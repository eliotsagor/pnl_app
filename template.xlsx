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omments/comment1.xml" ContentType="application/vnd.openxmlformats-officedocument.spreadsheetml.comments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drawings/drawing1.xml" ContentType="application/vnd.openxmlformats-officedocument.drawing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7520" tabRatio="790" firstSheet="18" activeTab="18" autoFilterDateGrouping="1"/>
  </bookViews>
  <sheets>
    <sheet xmlns:r="http://schemas.openxmlformats.org/officeDocument/2006/relationships" name="BIC $6 $4" sheetId="1" state="visible" r:id="rId1"/>
    <sheet xmlns:r="http://schemas.openxmlformats.org/officeDocument/2006/relationships" name="BIC Standard" sheetId="2" state="visible" r:id="rId2"/>
    <sheet xmlns:r="http://schemas.openxmlformats.org/officeDocument/2006/relationships" name="BIC $4 " sheetId="3" state="visible" r:id="rId3"/>
    <sheet xmlns:r="http://schemas.openxmlformats.org/officeDocument/2006/relationships" name="BIC $3" sheetId="4" state="visible" r:id="rId4"/>
    <sheet xmlns:r="http://schemas.openxmlformats.org/officeDocument/2006/relationships" name="BIC 1 DTE" sheetId="5" state="visible" r:id="rId5"/>
    <sheet xmlns:r="http://schemas.openxmlformats.org/officeDocument/2006/relationships" name="All BICs" sheetId="6" state="visible" r:id="rId6"/>
    <sheet xmlns:r="http://schemas.openxmlformats.org/officeDocument/2006/relationships" name="Price Action IC" sheetId="7" state="visible" r:id="rId7"/>
    <sheet xmlns:r="http://schemas.openxmlformats.org/officeDocument/2006/relationships" name="Verticals" sheetId="8" state="visible" r:id="rId8"/>
    <sheet xmlns:r="http://schemas.openxmlformats.org/officeDocument/2006/relationships" name="Auto JSP" sheetId="9" state="visible" r:id="rId9"/>
    <sheet xmlns:r="http://schemas.openxmlformats.org/officeDocument/2006/relationships" name="Wed Thu RIC" sheetId="10" state="visible" r:id="rId10"/>
    <sheet xmlns:r="http://schemas.openxmlformats.org/officeDocument/2006/relationships" name="Lottery" sheetId="11" state="visible" r:id="rId11"/>
    <sheet xmlns:r="http://schemas.openxmlformats.org/officeDocument/2006/relationships" name="MOC IC" sheetId="12" state="visible" r:id="rId12"/>
    <sheet xmlns:r="http://schemas.openxmlformats.org/officeDocument/2006/relationships" name="WUGA" sheetId="13" state="visible" r:id="rId13"/>
    <sheet xmlns:r="http://schemas.openxmlformats.org/officeDocument/2006/relationships" name="MT BF" sheetId="14" state="visible" r:id="rId14"/>
    <sheet xmlns:r="http://schemas.openxmlformats.org/officeDocument/2006/relationships" name="Umbrella" sheetId="15" state="visible" r:id="rId15"/>
    <sheet xmlns:r="http://schemas.openxmlformats.org/officeDocument/2006/relationships" name="PM Umbrella" sheetId="16" state="visible" r:id="rId16"/>
    <sheet xmlns:r="http://schemas.openxmlformats.org/officeDocument/2006/relationships" name="Vol Crush" sheetId="17" state="visible" r:id="rId17"/>
    <sheet xmlns:r="http://schemas.openxmlformats.org/officeDocument/2006/relationships" name="Lunch Vol C Umb" sheetId="18" state="visible" r:id="rId18"/>
    <sheet xmlns:r="http://schemas.openxmlformats.org/officeDocument/2006/relationships" name="Total" sheetId="19" state="visible" r:id="rId19"/>
    <sheet xmlns:r="http://schemas.openxmlformats.org/officeDocument/2006/relationships" name="FOMC Meeting" sheetId="20" state="visible" r:id="rId20"/>
    <sheet xmlns:r="http://schemas.openxmlformats.org/officeDocument/2006/relationships" name="LDOM" sheetId="21" state="visible" r:id="rId21"/>
    <sheet xmlns:r="http://schemas.openxmlformats.org/officeDocument/2006/relationships" name="FOMC" sheetId="22" state="visible" r:id="rId22"/>
    <sheet xmlns:r="http://schemas.openxmlformats.org/officeDocument/2006/relationships" name="Strategy" sheetId="23" state="visible" r:id="rId23"/>
    <sheet xmlns:r="http://schemas.openxmlformats.org/officeDocument/2006/relationships" name="6-7" sheetId="24" state="visible" r:id="rId24"/>
    <sheet xmlns:r="http://schemas.openxmlformats.org/officeDocument/2006/relationships" name="MT BIC" sheetId="25" state="visible" r:id="rId25"/>
    <sheet xmlns:r="http://schemas.openxmlformats.org/officeDocument/2006/relationships" name="METF" sheetId="26" state="visible" r:id="rId26"/>
    <sheet xmlns:r="http://schemas.openxmlformats.org/officeDocument/2006/relationships" name="RIC 10 DTE" sheetId="27" state="visible" r:id="rId27"/>
    <sheet xmlns:r="http://schemas.openxmlformats.org/officeDocument/2006/relationships" name="1 DTE" sheetId="28" state="visible" r:id="rId28"/>
    <sheet xmlns:r="http://schemas.openxmlformats.org/officeDocument/2006/relationships" name="RIC" sheetId="29" state="visible" r:id="rId29"/>
    <sheet xmlns:r="http://schemas.openxmlformats.org/officeDocument/2006/relationships" name="TLC" sheetId="30" state="visible" r:id="rId30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[$$-409]#,##0.00"/>
  </numFmts>
  <fonts count="4">
    <font>
      <name val="Aptos Narrow"/>
      <family val="2"/>
      <color theme="1"/>
      <sz val="11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3" fillId="0" borderId="0"/>
    <xf numFmtId="9" fontId="3" fillId="0" borderId="0"/>
  </cellStyleXfs>
  <cellXfs count="10">
    <xf numFmtId="0" fontId="0" fillId="0" borderId="0" pivotButton="0" quotePrefix="0" xfId="0"/>
    <xf numFmtId="14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0" fontId="0" fillId="2" borderId="0" pivotButton="0" quotePrefix="1" xfId="0"/>
    <xf numFmtId="9" fontId="0" fillId="0" borderId="0" pivotButton="0" quotePrefix="0" xfId="1"/>
    <xf numFmtId="15" fontId="0" fillId="0" borderId="0" pivotButton="0" quotePrefix="0" xfId="0"/>
    <xf numFmtId="1" fontId="0" fillId="2" borderId="0" pivotButton="0" quotePrefix="0" xfId="0"/>
    <xf numFmtId="1" fontId="0" fillId="0" borderId="0" pivotButton="0" quotePrefix="0" xfId="0"/>
    <xf numFmtId="0" fontId="0" fillId="2" borderId="0" applyAlignment="1" pivotButton="0" quotePrefix="0" xfId="0">
      <alignment horizontal="center"/>
    </xf>
  </cellXfs>
  <cellStyles count="2">
    <cellStyle name="Normal" xfId="0" builtinId="0"/>
    <cellStyle name="Percent" xfId="1" builtinId="5"/>
  </cellStyles>
  <dxfs count="111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comments/comment1.xml><?xml version="1.0" encoding="utf-8"?>
<comments xmlns="http://schemas.openxmlformats.org/spreadsheetml/2006/main">
  <authors>
    <author>Eliot</author>
  </authors>
  <commentList>
    <comment ref="B7" authorId="0" shapeId="0">
      <text>
        <t>Eliot:
I opened 3 $3 calls to hedge a down move.  That cost me $800.
DO NOT DO THIS!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 editAs="oneCell">
    <from>
      <col>7</col>
      <colOff>0</colOff>
      <row>13</row>
      <rowOff>0</rowOff>
    </from>
    <to>
      <col>30</col>
      <colOff>459221</colOff>
      <row>16</row>
      <rowOff>114396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305425" y="2476500"/>
          <a:ext cx="14480021" cy="68589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0</colOff>
      <row>20</row>
      <rowOff>0</rowOff>
    </from>
    <to>
      <col>30</col>
      <colOff>516379</colOff>
      <row>23</row>
      <rowOff>114396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305425" y="3810000"/>
          <a:ext cx="14537179" cy="68589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0</colOff>
      <row>26</row>
      <rowOff>0</rowOff>
    </from>
    <to>
      <col>30</col>
      <colOff>430642</colOff>
      <row>33</row>
      <rowOff>19239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305425" y="4953000"/>
          <a:ext cx="14451442" cy="135273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0</colOff>
      <row>36</row>
      <rowOff>0</rowOff>
    </from>
    <to>
      <col>30</col>
      <colOff>592589</colOff>
      <row>43</row>
      <rowOff>19239</rowOff>
    </to>
    <pic>
      <nvPicPr>
        <cNvPr id="5" name="Pictur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5305425" y="6858000"/>
          <a:ext cx="14613389" cy="135273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I35"/>
  <sheetViews>
    <sheetView workbookViewId="0">
      <selection activeCell="B35" sqref="B35:K35"/>
    </sheetView>
  </sheetViews>
  <sheetFormatPr baseColWidth="8" defaultRowHeight="15"/>
  <cols>
    <col width="18.42578125" customWidth="1" min="1" max="1"/>
    <col width="15.42578125" customWidth="1" style="3" min="2" max="2"/>
    <col width="11.5703125" customWidth="1" min="4" max="4"/>
    <col width="12.5703125" customWidth="1" min="5" max="5"/>
    <col width="11.5703125" customWidth="1" min="7" max="7"/>
    <col width="12.5703125" customWidth="1" min="8" max="8"/>
    <col width="11.5703125" customWidth="1" min="10" max="10"/>
    <col width="10.140625" bestFit="1" customWidth="1" min="11" max="11"/>
    <col width="10.42578125" bestFit="1" customWidth="1" min="13" max="13"/>
    <col width="10.85546875" bestFit="1" customWidth="1" min="14" max="14"/>
    <col width="10.85546875" bestFit="1" customWidth="1" min="17" max="17"/>
    <col width="10.85546875" bestFit="1" customWidth="1" min="20" max="20"/>
    <col width="10.85546875" bestFit="1" customWidth="1" min="23" max="23"/>
    <col width="10.85546875" bestFit="1" customWidth="1" min="26" max="26"/>
    <col width="10.85546875" bestFit="1" customWidth="1" min="29" max="29"/>
    <col width="10.85546875" bestFit="1" customWidth="1" min="32" max="32"/>
    <col width="10.140625" bestFit="1" customWidth="1" min="35" max="35"/>
  </cols>
  <sheetData>
    <row r="1" customFormat="1" s="2">
      <c r="A1" s="9" t="inlineStr">
        <is>
          <t>January</t>
        </is>
      </c>
      <c r="D1" s="9" t="inlineStr">
        <is>
          <t>February</t>
        </is>
      </c>
      <c r="G1" s="9" t="inlineStr">
        <is>
          <t>March</t>
        </is>
      </c>
      <c r="J1" s="2" t="inlineStr">
        <is>
          <t>April</t>
        </is>
      </c>
      <c r="M1" s="2" t="inlineStr">
        <is>
          <t>May</t>
        </is>
      </c>
      <c r="P1" s="2" t="inlineStr">
        <is>
          <t>Jun</t>
        </is>
      </c>
      <c r="S1" s="2" t="inlineStr">
        <is>
          <t>Jul</t>
        </is>
      </c>
      <c r="V1" s="2" t="inlineStr">
        <is>
          <t>Aug</t>
        </is>
      </c>
      <c r="Y1" s="2" t="inlineStr">
        <is>
          <t>Sep</t>
        </is>
      </c>
      <c r="AB1" s="2" t="inlineStr">
        <is>
          <t>Oct</t>
        </is>
      </c>
      <c r="AE1" s="2" t="inlineStr">
        <is>
          <t>Nov</t>
        </is>
      </c>
      <c r="AH1" s="2" t="inlineStr">
        <is>
          <t>Dec</t>
        </is>
      </c>
    </row>
    <row r="2">
      <c r="A2" t="n">
        <v>1</v>
      </c>
      <c r="D2" t="n">
        <v>1</v>
      </c>
      <c r="E2" s="3" t="n"/>
      <c r="G2" t="n">
        <v>1</v>
      </c>
      <c r="H2" s="3" t="n"/>
      <c r="J2" t="n">
        <v>1</v>
      </c>
      <c r="K2" s="3" t="n"/>
      <c r="M2" t="n">
        <v>1</v>
      </c>
      <c r="N2" s="3" t="n"/>
      <c r="P2" t="n">
        <v>1</v>
      </c>
      <c r="Q2" s="3" t="n"/>
      <c r="S2" t="n">
        <v>1</v>
      </c>
      <c r="T2" s="3" t="n"/>
      <c r="V2" t="n">
        <v>1</v>
      </c>
      <c r="W2" s="3" t="n"/>
      <c r="Y2" t="n">
        <v>1</v>
      </c>
      <c r="Z2" s="3" t="n"/>
      <c r="AB2" t="n">
        <v>1</v>
      </c>
      <c r="AC2" s="3" t="n"/>
      <c r="AE2" t="n">
        <v>1</v>
      </c>
      <c r="AF2" s="3" t="n"/>
      <c r="AH2" t="n">
        <v>1</v>
      </c>
      <c r="AI2" s="3" t="n"/>
    </row>
    <row r="3">
      <c r="A3" t="n">
        <v>2</v>
      </c>
      <c r="B3" s="3" t="n">
        <v>-3815</v>
      </c>
      <c r="D3" t="n">
        <v>2</v>
      </c>
      <c r="E3" s="3" t="n">
        <v>-1195</v>
      </c>
      <c r="G3" t="n">
        <v>2</v>
      </c>
      <c r="H3" s="3" t="n">
        <v>-10335</v>
      </c>
      <c r="J3" t="n">
        <v>2</v>
      </c>
      <c r="K3" s="3" t="n"/>
      <c r="M3" t="n">
        <v>2</v>
      </c>
      <c r="N3" s="3" t="n"/>
      <c r="P3" t="n">
        <v>2</v>
      </c>
      <c r="Q3" s="3" t="n"/>
      <c r="S3" t="n">
        <v>2</v>
      </c>
      <c r="T3" s="3" t="n"/>
      <c r="V3" t="n">
        <v>2</v>
      </c>
      <c r="W3" s="3" t="n"/>
      <c r="Y3" t="n">
        <v>2</v>
      </c>
      <c r="Z3" s="3" t="n"/>
      <c r="AB3" t="n">
        <v>2</v>
      </c>
      <c r="AC3" s="3" t="n"/>
      <c r="AE3" t="n">
        <v>2</v>
      </c>
      <c r="AF3" s="3" t="n"/>
      <c r="AH3" t="n">
        <v>2</v>
      </c>
      <c r="AI3" s="3" t="n"/>
    </row>
    <row r="4">
      <c r="A4" t="n">
        <v>3</v>
      </c>
      <c r="D4" t="n">
        <v>3</v>
      </c>
      <c r="E4" s="3" t="n">
        <v>-3318</v>
      </c>
      <c r="G4" t="n">
        <v>3</v>
      </c>
      <c r="H4" s="3" t="n">
        <v>325</v>
      </c>
      <c r="J4" t="n">
        <v>3</v>
      </c>
      <c r="K4" s="3" t="n"/>
      <c r="M4" t="n">
        <v>3</v>
      </c>
      <c r="N4" s="3" t="n"/>
      <c r="P4" t="n">
        <v>3</v>
      </c>
      <c r="Q4" s="3" t="n"/>
      <c r="S4" t="n">
        <v>3</v>
      </c>
      <c r="T4" s="3" t="n"/>
      <c r="V4" t="n">
        <v>3</v>
      </c>
      <c r="W4" s="3" t="n"/>
      <c r="Y4" t="n">
        <v>3</v>
      </c>
      <c r="Z4" s="3" t="n"/>
      <c r="AB4" t="n">
        <v>3</v>
      </c>
      <c r="AC4" s="3" t="n"/>
      <c r="AE4" t="n">
        <v>3</v>
      </c>
      <c r="AF4" s="3" t="n"/>
      <c r="AH4" t="n">
        <v>3</v>
      </c>
      <c r="AI4" s="3" t="n"/>
    </row>
    <row r="5">
      <c r="A5" t="n">
        <v>4</v>
      </c>
      <c r="D5" t="n">
        <v>4</v>
      </c>
      <c r="E5" s="3" t="n">
        <v>-9185</v>
      </c>
      <c r="G5" t="n">
        <v>4</v>
      </c>
      <c r="H5" s="3" t="n"/>
      <c r="J5" t="n">
        <v>4</v>
      </c>
      <c r="K5" s="3" t="n"/>
      <c r="M5" t="n">
        <v>4</v>
      </c>
      <c r="N5" s="3" t="n"/>
      <c r="P5" t="n">
        <v>4</v>
      </c>
      <c r="Q5" s="3" t="n"/>
      <c r="S5" t="n">
        <v>4</v>
      </c>
      <c r="T5" s="3" t="n"/>
      <c r="V5" t="n">
        <v>4</v>
      </c>
      <c r="W5" s="3" t="n"/>
      <c r="Y5" t="n">
        <v>4</v>
      </c>
      <c r="Z5" s="3" t="n"/>
      <c r="AB5" t="n">
        <v>4</v>
      </c>
      <c r="AC5" s="3" t="n"/>
      <c r="AE5" t="n">
        <v>4</v>
      </c>
      <c r="AF5" s="3" t="n"/>
      <c r="AH5" t="n">
        <v>4</v>
      </c>
      <c r="AI5" s="3" t="n"/>
    </row>
    <row r="6">
      <c r="A6" t="n">
        <v>5</v>
      </c>
      <c r="B6" s="3" t="n">
        <v>10</v>
      </c>
      <c r="D6" t="n">
        <v>5</v>
      </c>
      <c r="E6" s="3" t="n"/>
      <c r="G6" t="n">
        <v>5</v>
      </c>
      <c r="H6" s="3" t="n">
        <v>807</v>
      </c>
      <c r="J6" t="n">
        <v>5</v>
      </c>
      <c r="K6" s="3" t="n"/>
      <c r="M6" t="n">
        <v>5</v>
      </c>
      <c r="N6" s="3" t="n"/>
      <c r="P6" t="n">
        <v>5</v>
      </c>
      <c r="Q6" s="3" t="n"/>
      <c r="S6" t="n">
        <v>5</v>
      </c>
      <c r="T6" s="3" t="n"/>
      <c r="V6" t="n">
        <v>5</v>
      </c>
      <c r="W6" s="3" t="n"/>
      <c r="Y6" t="n">
        <v>5</v>
      </c>
      <c r="Z6" s="3" t="n"/>
      <c r="AB6" t="n">
        <v>5</v>
      </c>
      <c r="AC6" s="3" t="n"/>
      <c r="AE6" t="n">
        <v>5</v>
      </c>
      <c r="AF6" s="3" t="n"/>
      <c r="AH6" t="n">
        <v>5</v>
      </c>
      <c r="AI6" s="3" t="n"/>
    </row>
    <row r="7">
      <c r="A7" t="n">
        <v>6</v>
      </c>
      <c r="B7" s="3" t="n">
        <v>-14390</v>
      </c>
      <c r="D7" t="n">
        <v>6</v>
      </c>
      <c r="E7" s="3" t="n">
        <v>-5885</v>
      </c>
      <c r="G7" t="n">
        <v>6</v>
      </c>
      <c r="H7" s="3" t="n">
        <v>12150</v>
      </c>
      <c r="J7" t="n">
        <v>6</v>
      </c>
      <c r="K7" s="3" t="n"/>
      <c r="M7" t="n">
        <v>6</v>
      </c>
      <c r="N7" s="3" t="n"/>
      <c r="P7" t="n">
        <v>6</v>
      </c>
      <c r="Q7" s="3" t="n"/>
      <c r="S7" t="n">
        <v>6</v>
      </c>
      <c r="T7" s="3" t="n"/>
      <c r="V7" t="n">
        <v>6</v>
      </c>
      <c r="W7" s="3" t="n"/>
      <c r="Y7" t="n">
        <v>6</v>
      </c>
      <c r="Z7" s="3" t="n"/>
      <c r="AB7" t="n">
        <v>6</v>
      </c>
      <c r="AC7" s="3" t="n"/>
      <c r="AE7" t="n">
        <v>6</v>
      </c>
      <c r="AF7" s="3" t="n"/>
      <c r="AH7" t="n">
        <v>6</v>
      </c>
      <c r="AI7" s="3" t="n"/>
    </row>
    <row r="8">
      <c r="A8" t="n">
        <v>7</v>
      </c>
      <c r="B8" s="3" t="n">
        <v>-6970</v>
      </c>
      <c r="D8" t="n">
        <v>7</v>
      </c>
      <c r="E8" s="3" t="n"/>
      <c r="G8" t="n">
        <v>7</v>
      </c>
      <c r="H8" s="3" t="n"/>
      <c r="J8" t="n">
        <v>7</v>
      </c>
      <c r="K8" s="3" t="n"/>
      <c r="M8" t="n">
        <v>7</v>
      </c>
      <c r="N8" s="3" t="n"/>
      <c r="P8" t="n">
        <v>7</v>
      </c>
      <c r="Q8" s="3" t="n"/>
      <c r="S8" t="n">
        <v>7</v>
      </c>
      <c r="T8" s="3" t="n"/>
      <c r="V8" t="n">
        <v>7</v>
      </c>
      <c r="W8" s="3" t="n"/>
      <c r="Y8" t="n">
        <v>7</v>
      </c>
      <c r="Z8" s="3" t="n"/>
      <c r="AB8" t="n">
        <v>7</v>
      </c>
      <c r="AC8" s="3" t="n"/>
      <c r="AE8" t="n">
        <v>7</v>
      </c>
      <c r="AF8" s="3" t="n"/>
      <c r="AH8" t="n">
        <v>7</v>
      </c>
      <c r="AI8" s="3" t="n"/>
    </row>
    <row r="9">
      <c r="A9" t="n">
        <v>8</v>
      </c>
      <c r="B9" s="3" t="n">
        <v>670</v>
      </c>
      <c r="D9" t="n">
        <v>8</v>
      </c>
      <c r="E9" s="3" t="n"/>
      <c r="G9" t="n">
        <v>8</v>
      </c>
      <c r="H9" s="3" t="n"/>
      <c r="J9" t="n">
        <v>8</v>
      </c>
      <c r="K9" s="3" t="n"/>
      <c r="M9" t="n">
        <v>8</v>
      </c>
      <c r="N9" s="3" t="n"/>
      <c r="P9" t="n">
        <v>8</v>
      </c>
      <c r="Q9" s="3" t="n"/>
      <c r="S9" t="n">
        <v>8</v>
      </c>
      <c r="T9" s="3" t="n"/>
      <c r="V9" t="n">
        <v>8</v>
      </c>
      <c r="W9" s="3" t="n"/>
      <c r="Y9" t="n">
        <v>8</v>
      </c>
      <c r="Z9" s="3" t="n"/>
      <c r="AB9" t="n">
        <v>8</v>
      </c>
      <c r="AC9" s="3" t="n"/>
      <c r="AE9" t="n">
        <v>8</v>
      </c>
      <c r="AF9" s="3" t="n"/>
      <c r="AH9" t="n">
        <v>8</v>
      </c>
      <c r="AI9" s="3" t="n"/>
    </row>
    <row r="10">
      <c r="A10" t="n">
        <v>9</v>
      </c>
      <c r="B10" s="3" t="n">
        <v>-680</v>
      </c>
      <c r="D10" t="n">
        <v>9</v>
      </c>
      <c r="E10" s="3" t="n">
        <v>-6207</v>
      </c>
      <c r="G10" t="n">
        <v>9</v>
      </c>
      <c r="H10" s="3" t="n">
        <v>-4135</v>
      </c>
      <c r="J10" t="n">
        <v>9</v>
      </c>
      <c r="K10" s="3" t="n"/>
      <c r="M10" t="n">
        <v>9</v>
      </c>
      <c r="N10" s="3" t="n"/>
      <c r="P10" t="n">
        <v>9</v>
      </c>
      <c r="Q10" s="3" t="n"/>
      <c r="S10" t="n">
        <v>9</v>
      </c>
      <c r="T10" s="3" t="n"/>
      <c r="V10" t="n">
        <v>9</v>
      </c>
      <c r="W10" s="3" t="n"/>
      <c r="Y10" t="n">
        <v>9</v>
      </c>
      <c r="Z10" s="3" t="n"/>
      <c r="AB10" t="n">
        <v>9</v>
      </c>
      <c r="AC10" s="3" t="n"/>
      <c r="AE10" t="n">
        <v>9</v>
      </c>
      <c r="AF10" s="3" t="n"/>
      <c r="AH10" t="n">
        <v>9</v>
      </c>
      <c r="AI10" s="3" t="n"/>
    </row>
    <row r="11">
      <c r="A11" t="n">
        <v>10</v>
      </c>
      <c r="D11" t="n">
        <v>10</v>
      </c>
      <c r="E11" s="3" t="n">
        <v>1910</v>
      </c>
      <c r="G11" t="n">
        <v>10</v>
      </c>
      <c r="H11" s="3" t="n">
        <v>-3920</v>
      </c>
      <c r="J11" t="n">
        <v>10</v>
      </c>
      <c r="K11" s="3" t="n"/>
      <c r="M11" t="n">
        <v>10</v>
      </c>
      <c r="N11" s="3" t="n"/>
      <c r="P11" t="n">
        <v>10</v>
      </c>
      <c r="Q11" s="3" t="n"/>
      <c r="S11" t="n">
        <v>10</v>
      </c>
      <c r="T11" s="3" t="n"/>
      <c r="V11" t="n">
        <v>10</v>
      </c>
      <c r="W11" s="3" t="n"/>
      <c r="Y11" t="n">
        <v>10</v>
      </c>
      <c r="Z11" s="3" t="n"/>
      <c r="AB11" t="n">
        <v>10</v>
      </c>
      <c r="AC11" s="3" t="n"/>
      <c r="AE11" t="n">
        <v>10</v>
      </c>
      <c r="AF11" s="3" t="n"/>
      <c r="AH11" t="n">
        <v>10</v>
      </c>
      <c r="AI11" s="3" t="n"/>
    </row>
    <row r="12">
      <c r="A12" t="n">
        <v>11</v>
      </c>
      <c r="D12" t="n">
        <v>11</v>
      </c>
      <c r="E12" s="3" t="n"/>
      <c r="G12" t="n">
        <v>11</v>
      </c>
      <c r="H12" s="3" t="n">
        <v>7810</v>
      </c>
      <c r="J12" t="n">
        <v>11</v>
      </c>
      <c r="K12" s="3" t="n"/>
      <c r="M12" t="n">
        <v>11</v>
      </c>
      <c r="N12" s="3" t="n"/>
      <c r="P12" t="n">
        <v>11</v>
      </c>
      <c r="Q12" s="3" t="n"/>
      <c r="S12" t="n">
        <v>11</v>
      </c>
      <c r="T12" s="3" t="n"/>
      <c r="V12" t="n">
        <v>11</v>
      </c>
      <c r="W12" s="3" t="n"/>
      <c r="Y12" t="n">
        <v>11</v>
      </c>
      <c r="Z12" s="3" t="n"/>
      <c r="AB12" t="n">
        <v>11</v>
      </c>
      <c r="AC12" s="3" t="n"/>
      <c r="AE12" t="n">
        <v>11</v>
      </c>
      <c r="AF12" s="3" t="n"/>
      <c r="AH12" t="n">
        <v>11</v>
      </c>
      <c r="AI12" s="3" t="n"/>
    </row>
    <row r="13">
      <c r="A13" t="n">
        <v>12</v>
      </c>
      <c r="B13" s="3" t="n">
        <v>-3369</v>
      </c>
      <c r="D13" t="n">
        <v>12</v>
      </c>
      <c r="E13" s="3" t="n"/>
      <c r="G13" t="n">
        <v>12</v>
      </c>
      <c r="H13" s="3" t="n">
        <v>2699</v>
      </c>
      <c r="J13" t="n">
        <v>12</v>
      </c>
      <c r="K13" s="3" t="n"/>
      <c r="M13" t="n">
        <v>12</v>
      </c>
      <c r="N13" s="3" t="n"/>
      <c r="P13" t="n">
        <v>12</v>
      </c>
      <c r="Q13" s="3" t="n"/>
      <c r="S13" t="n">
        <v>12</v>
      </c>
      <c r="T13" s="3" t="n"/>
      <c r="V13" t="n">
        <v>12</v>
      </c>
      <c r="W13" s="3" t="n"/>
      <c r="Y13" t="n">
        <v>12</v>
      </c>
      <c r="Z13" s="3" t="n"/>
      <c r="AB13" t="n">
        <v>12</v>
      </c>
      <c r="AC13" s="3" t="n"/>
      <c r="AE13" t="n">
        <v>12</v>
      </c>
      <c r="AF13" s="3" t="n"/>
      <c r="AH13" t="n">
        <v>12</v>
      </c>
      <c r="AI13" s="3" t="n"/>
    </row>
    <row r="14">
      <c r="A14" t="n">
        <v>13</v>
      </c>
      <c r="B14" s="3" t="n">
        <v>5911</v>
      </c>
      <c r="D14" t="n">
        <v>13</v>
      </c>
      <c r="E14" s="3" t="n">
        <v>9425</v>
      </c>
      <c r="G14" t="n">
        <v>13</v>
      </c>
      <c r="H14" s="3" t="n">
        <v>5005</v>
      </c>
      <c r="J14" t="n">
        <v>13</v>
      </c>
      <c r="K14" s="3" t="n"/>
      <c r="M14" t="n">
        <v>13</v>
      </c>
      <c r="N14" s="3" t="n"/>
      <c r="P14" t="n">
        <v>13</v>
      </c>
      <c r="Q14" s="3" t="n"/>
      <c r="S14" t="n">
        <v>13</v>
      </c>
      <c r="T14" s="3" t="n"/>
      <c r="V14" t="n">
        <v>13</v>
      </c>
      <c r="W14" s="3" t="n"/>
      <c r="Y14" t="n">
        <v>13</v>
      </c>
      <c r="Z14" s="3" t="n"/>
      <c r="AB14" t="n">
        <v>13</v>
      </c>
      <c r="AC14" s="3" t="n"/>
      <c r="AE14" t="n">
        <v>13</v>
      </c>
      <c r="AF14" s="3" t="n"/>
      <c r="AH14" t="n">
        <v>13</v>
      </c>
      <c r="AI14" s="3" t="n"/>
    </row>
    <row r="15">
      <c r="A15" t="n">
        <v>14</v>
      </c>
      <c r="B15" s="3" t="n">
        <v>205</v>
      </c>
      <c r="D15" t="n">
        <v>14</v>
      </c>
      <c r="E15" s="3" t="n"/>
      <c r="G15" t="n">
        <v>14</v>
      </c>
      <c r="H15" s="3" t="n"/>
      <c r="J15" t="n">
        <v>14</v>
      </c>
      <c r="K15" s="3" t="n"/>
      <c r="M15" t="n">
        <v>14</v>
      </c>
      <c r="N15" s="3" t="n"/>
      <c r="P15" t="n">
        <v>14</v>
      </c>
      <c r="Q15" s="3" t="n"/>
      <c r="S15" t="n">
        <v>14</v>
      </c>
      <c r="T15" s="3" t="n"/>
      <c r="V15" t="n">
        <v>14</v>
      </c>
      <c r="W15" s="3" t="n"/>
      <c r="Y15" t="n">
        <v>14</v>
      </c>
      <c r="Z15" s="3" t="n"/>
      <c r="AB15" t="n">
        <v>14</v>
      </c>
      <c r="AC15" s="3" t="n"/>
      <c r="AE15" t="n">
        <v>14</v>
      </c>
      <c r="AF15" s="3" t="n"/>
      <c r="AH15" t="n">
        <v>14</v>
      </c>
      <c r="AI15" s="3" t="n"/>
    </row>
    <row r="16">
      <c r="A16" t="n">
        <v>15</v>
      </c>
      <c r="B16" s="3" t="n">
        <v>-3480</v>
      </c>
      <c r="D16" t="n">
        <v>15</v>
      </c>
      <c r="E16" s="3" t="n"/>
      <c r="G16" t="n">
        <v>15</v>
      </c>
      <c r="H16" s="3" t="n"/>
      <c r="J16" t="n">
        <v>15</v>
      </c>
      <c r="K16" s="3" t="n"/>
      <c r="M16" t="n">
        <v>15</v>
      </c>
      <c r="N16" s="3" t="n"/>
      <c r="P16" t="n">
        <v>15</v>
      </c>
      <c r="Q16" s="3" t="n"/>
      <c r="S16" t="n">
        <v>15</v>
      </c>
      <c r="T16" s="3" t="n"/>
      <c r="V16" t="n">
        <v>15</v>
      </c>
      <c r="W16" s="3" t="n"/>
      <c r="Y16" t="n">
        <v>15</v>
      </c>
      <c r="Z16" s="3" t="n"/>
      <c r="AB16" t="n">
        <v>15</v>
      </c>
      <c r="AC16" s="3" t="n"/>
      <c r="AE16" t="n">
        <v>15</v>
      </c>
      <c r="AF16" s="3" t="n"/>
      <c r="AH16" t="n">
        <v>15</v>
      </c>
      <c r="AI16" s="3" t="n"/>
    </row>
    <row r="17">
      <c r="A17" t="n">
        <v>16</v>
      </c>
      <c r="B17" s="3" t="n">
        <v>6706</v>
      </c>
      <c r="D17" t="n">
        <v>16</v>
      </c>
      <c r="E17" s="3" t="n"/>
      <c r="G17" t="n">
        <v>16</v>
      </c>
      <c r="H17" s="3" t="n">
        <v>-11714</v>
      </c>
      <c r="J17" t="n">
        <v>16</v>
      </c>
      <c r="K17" s="3" t="n"/>
      <c r="M17" t="n">
        <v>16</v>
      </c>
      <c r="N17" s="3" t="n"/>
      <c r="P17" t="n">
        <v>16</v>
      </c>
      <c r="Q17" s="3" t="n"/>
      <c r="S17" t="n">
        <v>16</v>
      </c>
      <c r="T17" s="3" t="n"/>
      <c r="V17" t="n">
        <v>16</v>
      </c>
      <c r="W17" s="3" t="n"/>
      <c r="Y17" t="n">
        <v>16</v>
      </c>
      <c r="Z17" s="3" t="n"/>
      <c r="AB17" t="n">
        <v>16</v>
      </c>
      <c r="AC17" s="3" t="n"/>
      <c r="AE17" t="n">
        <v>16</v>
      </c>
      <c r="AF17" s="3" t="n"/>
      <c r="AH17" t="n">
        <v>16</v>
      </c>
      <c r="AI17" s="3" t="n"/>
    </row>
    <row r="18">
      <c r="A18" t="n">
        <v>17</v>
      </c>
      <c r="D18" t="n">
        <v>17</v>
      </c>
      <c r="E18" s="3" t="n">
        <v>-4620</v>
      </c>
      <c r="G18" t="n">
        <v>17</v>
      </c>
      <c r="H18" s="3" t="n">
        <v>3400</v>
      </c>
      <c r="J18" t="n">
        <v>17</v>
      </c>
      <c r="K18" s="3" t="n"/>
      <c r="M18" t="n">
        <v>17</v>
      </c>
      <c r="N18" s="3" t="n"/>
      <c r="P18" t="n">
        <v>17</v>
      </c>
      <c r="Q18" s="3" t="n"/>
      <c r="S18" t="n">
        <v>17</v>
      </c>
      <c r="T18" s="3" t="n"/>
      <c r="V18" t="n">
        <v>17</v>
      </c>
      <c r="W18" s="3" t="n"/>
      <c r="Y18" t="n">
        <v>17</v>
      </c>
      <c r="Z18" s="3" t="n"/>
      <c r="AB18" t="n">
        <v>17</v>
      </c>
      <c r="AC18" s="3" t="n"/>
      <c r="AE18" t="n">
        <v>17</v>
      </c>
      <c r="AF18" s="3" t="n"/>
      <c r="AH18" t="n">
        <v>17</v>
      </c>
      <c r="AI18" s="3" t="n"/>
    </row>
    <row r="19">
      <c r="A19" t="n">
        <v>18</v>
      </c>
      <c r="D19" t="n">
        <v>18</v>
      </c>
      <c r="E19" s="3" t="n"/>
      <c r="G19" t="n">
        <v>18</v>
      </c>
      <c r="H19" s="3" t="n"/>
      <c r="J19" t="n">
        <v>18</v>
      </c>
      <c r="K19" s="3" t="n"/>
      <c r="M19" t="n">
        <v>18</v>
      </c>
      <c r="N19" s="3" t="n"/>
      <c r="P19" t="n">
        <v>18</v>
      </c>
      <c r="Q19" s="3" t="n"/>
      <c r="S19" t="n">
        <v>18</v>
      </c>
      <c r="T19" s="3" t="n"/>
      <c r="V19" t="n">
        <v>18</v>
      </c>
      <c r="W19" s="3" t="n"/>
      <c r="Y19" t="n">
        <v>18</v>
      </c>
      <c r="Z19" s="3" t="n"/>
      <c r="AB19" t="n">
        <v>18</v>
      </c>
      <c r="AC19" s="3" t="n"/>
      <c r="AE19" t="n">
        <v>18</v>
      </c>
      <c r="AF19" s="3" t="n"/>
      <c r="AH19" t="n">
        <v>18</v>
      </c>
      <c r="AI19" s="3" t="n"/>
    </row>
    <row r="20">
      <c r="A20" t="n">
        <v>19</v>
      </c>
      <c r="D20" t="n">
        <v>19</v>
      </c>
      <c r="E20" s="3" t="n">
        <v>1640</v>
      </c>
      <c r="G20" t="n">
        <v>19</v>
      </c>
      <c r="H20" s="3" t="n">
        <v>-3730</v>
      </c>
      <c r="J20" t="n">
        <v>19</v>
      </c>
      <c r="K20" s="3" t="n"/>
      <c r="M20" t="n">
        <v>19</v>
      </c>
      <c r="N20" s="3" t="n"/>
      <c r="P20" t="n">
        <v>19</v>
      </c>
      <c r="Q20" s="3" t="n"/>
      <c r="S20" t="n">
        <v>19</v>
      </c>
      <c r="T20" s="3" t="n"/>
      <c r="V20" t="n">
        <v>19</v>
      </c>
      <c r="W20" s="3" t="n"/>
      <c r="Y20" t="n">
        <v>19</v>
      </c>
      <c r="Z20" s="3" t="n"/>
      <c r="AB20" t="n">
        <v>19</v>
      </c>
      <c r="AC20" s="3" t="n"/>
      <c r="AE20" t="n">
        <v>19</v>
      </c>
      <c r="AF20" s="3" t="n"/>
      <c r="AH20" t="n">
        <v>19</v>
      </c>
      <c r="AI20" s="3" t="n"/>
    </row>
    <row r="21">
      <c r="A21" t="n">
        <v>20</v>
      </c>
      <c r="B21" s="3" t="n">
        <v>810</v>
      </c>
      <c r="D21" t="n">
        <v>20</v>
      </c>
      <c r="E21" s="3" t="n">
        <v>-3645</v>
      </c>
      <c r="G21" t="n">
        <v>20</v>
      </c>
      <c r="H21" s="3" t="n">
        <v>-5380</v>
      </c>
      <c r="J21" t="n">
        <v>20</v>
      </c>
      <c r="K21" s="3" t="n"/>
      <c r="M21" t="n">
        <v>20</v>
      </c>
      <c r="N21" s="3" t="n"/>
      <c r="P21" t="n">
        <v>20</v>
      </c>
      <c r="Q21" s="3" t="n"/>
      <c r="S21" t="n">
        <v>20</v>
      </c>
      <c r="T21" s="3" t="n"/>
      <c r="V21" t="n">
        <v>20</v>
      </c>
      <c r="W21" s="3" t="n"/>
      <c r="Y21" t="n">
        <v>20</v>
      </c>
      <c r="Z21" s="3" t="n"/>
      <c r="AB21" t="n">
        <v>20</v>
      </c>
      <c r="AC21" s="3" t="n"/>
      <c r="AE21" t="n">
        <v>20</v>
      </c>
      <c r="AF21" s="3" t="n"/>
      <c r="AH21" t="n">
        <v>20</v>
      </c>
      <c r="AI21" s="3" t="n"/>
    </row>
    <row r="22">
      <c r="A22" t="n">
        <v>21</v>
      </c>
      <c r="B22" s="3" t="n">
        <v>-15525</v>
      </c>
      <c r="D22" t="n">
        <v>21</v>
      </c>
      <c r="E22" s="3" t="n"/>
      <c r="G22" t="n">
        <v>21</v>
      </c>
      <c r="H22" s="3" t="n"/>
      <c r="J22" t="n">
        <v>21</v>
      </c>
      <c r="K22" s="3" t="n"/>
      <c r="M22" t="n">
        <v>21</v>
      </c>
      <c r="N22" s="3" t="n"/>
      <c r="P22" t="n">
        <v>21</v>
      </c>
      <c r="Q22" s="3" t="n"/>
      <c r="S22" t="n">
        <v>21</v>
      </c>
      <c r="T22" s="3" t="n"/>
      <c r="V22" t="n">
        <v>21</v>
      </c>
      <c r="W22" s="3" t="n"/>
      <c r="Y22" t="n">
        <v>21</v>
      </c>
      <c r="Z22" s="3" t="n"/>
      <c r="AB22" t="n">
        <v>21</v>
      </c>
      <c r="AC22" s="3" t="n"/>
      <c r="AE22" t="n">
        <v>21</v>
      </c>
      <c r="AF22" s="3" t="n"/>
      <c r="AH22" t="n">
        <v>21</v>
      </c>
      <c r="AI22" s="3" t="n"/>
    </row>
    <row r="23">
      <c r="A23" t="n">
        <v>22</v>
      </c>
      <c r="D23" t="n">
        <v>22</v>
      </c>
      <c r="E23" s="3" t="n"/>
      <c r="G23" t="n">
        <v>22</v>
      </c>
      <c r="H23" s="3" t="n"/>
      <c r="J23" t="n">
        <v>22</v>
      </c>
      <c r="K23" s="3" t="n"/>
      <c r="M23" t="n">
        <v>22</v>
      </c>
      <c r="N23" s="3" t="n"/>
      <c r="P23" t="n">
        <v>22</v>
      </c>
      <c r="Q23" s="3" t="n"/>
      <c r="S23" t="n">
        <v>22</v>
      </c>
      <c r="T23" s="3" t="n"/>
      <c r="V23" t="n">
        <v>22</v>
      </c>
      <c r="W23" s="3" t="n"/>
      <c r="Y23" t="n">
        <v>22</v>
      </c>
      <c r="Z23" s="3" t="n"/>
      <c r="AB23" t="n">
        <v>22</v>
      </c>
      <c r="AC23" s="3" t="n"/>
      <c r="AE23" t="n">
        <v>22</v>
      </c>
      <c r="AF23" s="3" t="n"/>
      <c r="AH23" t="n">
        <v>22</v>
      </c>
      <c r="AI23" s="3" t="n"/>
    </row>
    <row r="24">
      <c r="A24" t="n">
        <v>23</v>
      </c>
      <c r="B24" s="3" t="n">
        <v>-2330</v>
      </c>
      <c r="D24" t="n">
        <v>23</v>
      </c>
      <c r="E24" s="3" t="n">
        <v>1315</v>
      </c>
      <c r="G24" t="n">
        <v>23</v>
      </c>
      <c r="H24" s="3" t="n">
        <v>2270</v>
      </c>
      <c r="J24" t="n">
        <v>23</v>
      </c>
      <c r="K24" s="3" t="n"/>
      <c r="M24" t="n">
        <v>23</v>
      </c>
      <c r="N24" s="3" t="n"/>
      <c r="P24" t="n">
        <v>23</v>
      </c>
      <c r="Q24" s="3" t="n"/>
      <c r="S24" t="n">
        <v>23</v>
      </c>
      <c r="T24" s="3" t="n"/>
      <c r="V24" t="n">
        <v>23</v>
      </c>
      <c r="W24" s="3" t="n"/>
      <c r="Y24" t="n">
        <v>23</v>
      </c>
      <c r="Z24" s="3" t="n"/>
      <c r="AB24" t="n">
        <v>23</v>
      </c>
      <c r="AC24" s="3" t="n"/>
      <c r="AE24" t="n">
        <v>23</v>
      </c>
      <c r="AF24" s="3" t="n"/>
      <c r="AH24" t="n">
        <v>23</v>
      </c>
      <c r="AI24" s="3" t="n"/>
    </row>
    <row r="25">
      <c r="A25" t="n">
        <v>24</v>
      </c>
      <c r="D25" t="n">
        <v>24</v>
      </c>
      <c r="E25" s="3" t="n">
        <v>375</v>
      </c>
      <c r="G25" t="n">
        <v>24</v>
      </c>
      <c r="H25" s="3" t="n">
        <v>3195</v>
      </c>
      <c r="J25" t="n">
        <v>24</v>
      </c>
      <c r="K25" s="3" t="n"/>
      <c r="M25" t="n">
        <v>24</v>
      </c>
      <c r="N25" s="3" t="n"/>
      <c r="P25" t="n">
        <v>24</v>
      </c>
      <c r="Q25" s="3" t="n"/>
      <c r="S25" t="n">
        <v>24</v>
      </c>
      <c r="T25" s="3" t="n"/>
      <c r="V25" t="n">
        <v>24</v>
      </c>
      <c r="W25" s="3" t="n"/>
      <c r="Y25" t="n">
        <v>24</v>
      </c>
      <c r="Z25" s="3" t="n"/>
      <c r="AB25" t="n">
        <v>24</v>
      </c>
      <c r="AC25" s="3" t="n"/>
      <c r="AE25" t="n">
        <v>24</v>
      </c>
      <c r="AF25" s="3" t="n"/>
      <c r="AH25" t="n">
        <v>24</v>
      </c>
      <c r="AI25" s="3" t="n"/>
    </row>
    <row r="26">
      <c r="A26" t="n">
        <v>25</v>
      </c>
      <c r="D26" t="n">
        <v>25</v>
      </c>
      <c r="E26" s="3" t="n"/>
      <c r="G26" t="n">
        <v>25</v>
      </c>
      <c r="H26" s="3" t="n">
        <v>-625</v>
      </c>
      <c r="J26" t="n">
        <v>25</v>
      </c>
      <c r="K26" s="3" t="n"/>
      <c r="M26" t="n">
        <v>25</v>
      </c>
      <c r="N26" s="3" t="n"/>
      <c r="P26" t="n">
        <v>25</v>
      </c>
      <c r="Q26" s="3" t="n"/>
      <c r="S26" t="n">
        <v>25</v>
      </c>
      <c r="T26" s="3" t="n"/>
      <c r="V26" t="n">
        <v>25</v>
      </c>
      <c r="W26" s="3" t="n"/>
      <c r="Y26" t="n">
        <v>25</v>
      </c>
      <c r="Z26" s="3" t="n"/>
      <c r="AB26" t="n">
        <v>25</v>
      </c>
      <c r="AC26" s="3" t="n"/>
      <c r="AE26" t="n">
        <v>25</v>
      </c>
      <c r="AF26" s="3" t="n"/>
      <c r="AH26" t="n">
        <v>25</v>
      </c>
      <c r="AI26" s="3" t="n"/>
    </row>
    <row r="27">
      <c r="A27" t="n">
        <v>26</v>
      </c>
      <c r="B27" s="3" t="n">
        <v>9445</v>
      </c>
      <c r="D27" t="n">
        <v>26</v>
      </c>
      <c r="E27" s="3" t="n"/>
      <c r="G27" t="n">
        <v>26</v>
      </c>
      <c r="H27" s="3" t="n">
        <v>2310</v>
      </c>
      <c r="J27" t="n">
        <v>26</v>
      </c>
      <c r="K27" s="3" t="n"/>
      <c r="M27" t="n">
        <v>26</v>
      </c>
      <c r="N27" s="3" t="n"/>
      <c r="P27" t="n">
        <v>26</v>
      </c>
      <c r="Q27" s="3" t="n"/>
      <c r="S27" t="n">
        <v>26</v>
      </c>
      <c r="T27" s="3" t="n"/>
      <c r="V27" t="n">
        <v>26</v>
      </c>
      <c r="W27" s="3" t="n"/>
      <c r="Y27" t="n">
        <v>26</v>
      </c>
      <c r="Z27" s="3" t="n"/>
      <c r="AB27" t="n">
        <v>26</v>
      </c>
      <c r="AC27" s="3" t="n"/>
      <c r="AE27" t="n">
        <v>26</v>
      </c>
      <c r="AF27" s="3" t="n"/>
      <c r="AH27" t="n">
        <v>26</v>
      </c>
      <c r="AI27" s="3" t="n"/>
    </row>
    <row r="28">
      <c r="A28" t="n">
        <v>27</v>
      </c>
      <c r="B28" s="3" t="n">
        <v>5390</v>
      </c>
      <c r="D28" t="n">
        <v>27</v>
      </c>
      <c r="E28" s="3" t="n">
        <v>6880</v>
      </c>
      <c r="G28" t="n">
        <v>27</v>
      </c>
      <c r="H28" s="3" t="n">
        <v>5400</v>
      </c>
      <c r="J28" t="n">
        <v>27</v>
      </c>
      <c r="K28" s="3" t="n"/>
      <c r="M28" t="n">
        <v>27</v>
      </c>
      <c r="N28" s="3" t="n"/>
      <c r="P28" t="n">
        <v>27</v>
      </c>
      <c r="Q28" s="3" t="n"/>
      <c r="S28" t="n">
        <v>27</v>
      </c>
      <c r="T28" s="3" t="n"/>
      <c r="V28" t="n">
        <v>27</v>
      </c>
      <c r="W28" s="3" t="n"/>
      <c r="Y28" t="n">
        <v>27</v>
      </c>
      <c r="Z28" s="3" t="n"/>
      <c r="AB28" t="n">
        <v>27</v>
      </c>
      <c r="AC28" s="3" t="n"/>
      <c r="AE28" t="n">
        <v>27</v>
      </c>
      <c r="AF28" s="3" t="n"/>
      <c r="AH28" t="n">
        <v>27</v>
      </c>
      <c r="AI28" s="3" t="n"/>
    </row>
    <row r="29">
      <c r="A29" t="n">
        <v>28</v>
      </c>
      <c r="D29" t="n">
        <v>28</v>
      </c>
      <c r="E29" s="3" t="n"/>
      <c r="G29" t="n">
        <v>28</v>
      </c>
      <c r="H29" s="3" t="n"/>
      <c r="J29" t="n">
        <v>28</v>
      </c>
      <c r="K29" s="3" t="n"/>
      <c r="M29" t="n">
        <v>28</v>
      </c>
      <c r="N29" s="3" t="n"/>
      <c r="P29" t="n">
        <v>28</v>
      </c>
      <c r="Q29" s="3" t="n"/>
      <c r="S29" t="n">
        <v>28</v>
      </c>
      <c r="T29" s="3" t="n"/>
      <c r="V29" t="n">
        <v>28</v>
      </c>
      <c r="W29" s="3" t="n"/>
      <c r="Y29" t="n">
        <v>28</v>
      </c>
      <c r="Z29" s="3" t="n"/>
      <c r="AB29" t="n">
        <v>28</v>
      </c>
      <c r="AC29" s="3" t="n"/>
      <c r="AE29" t="n">
        <v>28</v>
      </c>
      <c r="AF29" s="3" t="n"/>
      <c r="AH29" t="n">
        <v>28</v>
      </c>
      <c r="AI29" s="3" t="n"/>
    </row>
    <row r="30">
      <c r="A30" t="n">
        <v>29</v>
      </c>
      <c r="D30" t="n">
        <v>29</v>
      </c>
      <c r="E30" s="3" t="n"/>
      <c r="G30" t="n">
        <v>29</v>
      </c>
      <c r="H30" s="3" t="n"/>
      <c r="J30" t="n">
        <v>29</v>
      </c>
      <c r="K30" s="3" t="n"/>
      <c r="M30" t="n">
        <v>29</v>
      </c>
      <c r="N30" s="3" t="n"/>
      <c r="P30" t="n">
        <v>29</v>
      </c>
      <c r="Q30" s="3" t="n"/>
      <c r="S30" t="n">
        <v>29</v>
      </c>
      <c r="T30" s="3" t="n"/>
      <c r="V30" t="n">
        <v>29</v>
      </c>
      <c r="W30" s="3" t="n"/>
      <c r="Y30" t="n">
        <v>29</v>
      </c>
      <c r="Z30" s="3" t="n"/>
      <c r="AB30" t="n">
        <v>29</v>
      </c>
      <c r="AC30" s="3" t="n"/>
      <c r="AE30" t="n">
        <v>29</v>
      </c>
      <c r="AF30" s="3" t="n"/>
      <c r="AH30" t="n">
        <v>29</v>
      </c>
      <c r="AI30" s="3" t="n"/>
    </row>
    <row r="31">
      <c r="A31" t="n">
        <v>30</v>
      </c>
      <c r="B31" s="3" t="n">
        <v>-2420</v>
      </c>
      <c r="D31" t="n">
        <v>30</v>
      </c>
      <c r="E31" s="3" t="n"/>
      <c r="G31" t="n">
        <v>30</v>
      </c>
      <c r="H31" s="3" t="n">
        <v>2265</v>
      </c>
      <c r="J31" t="n">
        <v>30</v>
      </c>
      <c r="K31" s="3" t="n"/>
      <c r="M31" t="n">
        <v>30</v>
      </c>
      <c r="N31" s="3" t="n"/>
      <c r="P31" t="n">
        <v>30</v>
      </c>
      <c r="S31" t="n">
        <v>30</v>
      </c>
      <c r="V31" t="n">
        <v>30</v>
      </c>
      <c r="Y31" t="n">
        <v>30</v>
      </c>
      <c r="AB31" t="n">
        <v>30</v>
      </c>
      <c r="AC31" s="3" t="n"/>
      <c r="AE31" t="n">
        <v>30</v>
      </c>
      <c r="AF31" s="3" t="n"/>
      <c r="AH31" t="n">
        <v>30</v>
      </c>
      <c r="AI31" s="3" t="n"/>
    </row>
    <row r="32">
      <c r="A32" t="n">
        <v>31</v>
      </c>
      <c r="D32" t="n">
        <v>31</v>
      </c>
      <c r="E32" s="3" t="n"/>
      <c r="G32" t="n">
        <v>31</v>
      </c>
      <c r="H32" s="3" t="n">
        <v>215</v>
      </c>
      <c r="J32" t="n">
        <v>31</v>
      </c>
      <c r="K32" s="3" t="n"/>
      <c r="M32" t="n">
        <v>31</v>
      </c>
      <c r="N32" s="3" t="n"/>
      <c r="P32" t="n">
        <v>31</v>
      </c>
      <c r="S32" t="n">
        <v>31</v>
      </c>
      <c r="V32" t="n">
        <v>31</v>
      </c>
      <c r="Y32" t="n">
        <v>31</v>
      </c>
      <c r="AB32" t="n">
        <v>31</v>
      </c>
      <c r="AC32" s="3" t="n"/>
      <c r="AE32" t="n">
        <v>31</v>
      </c>
      <c r="AF32" s="3" t="n"/>
      <c r="AH32" t="n">
        <v>31</v>
      </c>
      <c r="AI32" s="3" t="n"/>
    </row>
    <row r="33">
      <c r="E33" s="3" t="n"/>
      <c r="H33" s="3" t="n"/>
    </row>
    <row r="34">
      <c r="E34" s="3" t="n"/>
      <c r="H34" s="3" t="n"/>
    </row>
    <row r="35">
      <c r="A35" t="inlineStr">
        <is>
          <t>Total</t>
        </is>
      </c>
      <c r="B35" s="3">
        <f>SUM(B2:B34)</f>
        <v/>
      </c>
      <c r="E35" s="3">
        <f>SUM(E2:E34)</f>
        <v/>
      </c>
      <c r="H35" s="3">
        <f>SUM(H2:H34)</f>
        <v/>
      </c>
      <c r="K35" s="3">
        <f>SUM(K2:K34)</f>
        <v/>
      </c>
      <c r="N35" s="3">
        <f>SUM(N2:N34)</f>
        <v/>
      </c>
      <c r="Q35" s="3">
        <f>SUM(Q2:Q34)</f>
        <v/>
      </c>
      <c r="T35" s="3">
        <f>SUM(T2:T34)</f>
        <v/>
      </c>
      <c r="W35" s="3">
        <f>SUM(W2:W34)</f>
        <v/>
      </c>
      <c r="Z35" s="3">
        <f>SUM(Z2:Z34)</f>
        <v/>
      </c>
      <c r="AC35" s="3">
        <f>SUM(AC2:AC34)</f>
        <v/>
      </c>
      <c r="AF35" s="3">
        <f>SUM(AF2:AF34)</f>
        <v/>
      </c>
      <c r="AI35" s="3">
        <f>SUM(AI2:AI34)</f>
        <v/>
      </c>
    </row>
  </sheetData>
  <mergeCells count="3">
    <mergeCell ref="D1:E1"/>
    <mergeCell ref="G1:H1"/>
    <mergeCell ref="A1:B1"/>
  </mergeCells>
  <conditionalFormatting sqref="B2:B32">
    <cfRule type="cellIs" priority="47" operator="lessThan" dxfId="1">
      <formula>0</formula>
    </cfRule>
    <cfRule type="cellIs" priority="48" operator="greaterThan" dxfId="0">
      <formula>0</formula>
    </cfRule>
  </conditionalFormatting>
  <conditionalFormatting sqref="B35">
    <cfRule type="cellIs" priority="46" operator="greaterThan" dxfId="0">
      <formula>0</formula>
    </cfRule>
    <cfRule type="cellIs" priority="45" operator="lessThan" dxfId="1">
      <formula>0</formula>
    </cfRule>
  </conditionalFormatting>
  <conditionalFormatting sqref="E2:E35">
    <cfRule type="cellIs" priority="41" operator="lessThan" dxfId="1">
      <formula>0</formula>
    </cfRule>
    <cfRule type="cellIs" priority="42" operator="greaterThan" dxfId="0">
      <formula>0</formula>
    </cfRule>
  </conditionalFormatting>
  <conditionalFormatting sqref="H2:H35">
    <cfRule type="cellIs" priority="34" operator="greaterThan" dxfId="0">
      <formula>0</formula>
    </cfRule>
    <cfRule type="cellIs" priority="33" operator="lessThan" dxfId="1">
      <formula>0</formula>
    </cfRule>
  </conditionalFormatting>
  <conditionalFormatting sqref="K2:K32">
    <cfRule type="cellIs" priority="38" operator="greaterThan" dxfId="0">
      <formula>0</formula>
    </cfRule>
    <cfRule type="cellIs" priority="37" operator="lessThan" dxfId="1">
      <formula>0</formula>
    </cfRule>
  </conditionalFormatting>
  <conditionalFormatting sqref="K35">
    <cfRule type="cellIs" priority="36" operator="greaterThan" dxfId="0">
      <formula>0</formula>
    </cfRule>
    <cfRule type="cellIs" priority="35" operator="lessThan" dxfId="1">
      <formula>0</formula>
    </cfRule>
  </conditionalFormatting>
  <conditionalFormatting sqref="N2:N32">
    <cfRule type="cellIs" priority="32" operator="greaterThan" dxfId="0">
      <formula>0</formula>
    </cfRule>
    <cfRule type="cellIs" priority="31" operator="lessThan" dxfId="1">
      <formula>0</formula>
    </cfRule>
  </conditionalFormatting>
  <conditionalFormatting sqref="N35">
    <cfRule type="cellIs" priority="30" operator="greaterThan" dxfId="0">
      <formula>0</formula>
    </cfRule>
    <cfRule type="cellIs" priority="29" operator="lessThan" dxfId="1">
      <formula>0</formula>
    </cfRule>
  </conditionalFormatting>
  <conditionalFormatting sqref="Q2:Q30">
    <cfRule type="cellIs" priority="28" operator="greaterThan" dxfId="0">
      <formula>0</formula>
    </cfRule>
    <cfRule type="cellIs" priority="27" operator="lessThan" dxfId="1">
      <formula>0</formula>
    </cfRule>
  </conditionalFormatting>
  <conditionalFormatting sqref="Q35">
    <cfRule type="cellIs" priority="26" operator="greaterThan" dxfId="0">
      <formula>0</formula>
    </cfRule>
    <cfRule type="cellIs" priority="25" operator="lessThan" dxfId="1">
      <formula>0</formula>
    </cfRule>
  </conditionalFormatting>
  <conditionalFormatting sqref="T2:T30">
    <cfRule type="cellIs" priority="23" operator="lessThan" dxfId="1">
      <formula>0</formula>
    </cfRule>
    <cfRule type="cellIs" priority="24" operator="greaterThan" dxfId="0">
      <formula>0</formula>
    </cfRule>
  </conditionalFormatting>
  <conditionalFormatting sqref="T35">
    <cfRule type="cellIs" priority="22" operator="greaterThan" dxfId="0">
      <formula>0</formula>
    </cfRule>
    <cfRule type="cellIs" priority="21" operator="lessThan" dxfId="1">
      <formula>0</formula>
    </cfRule>
  </conditionalFormatting>
  <conditionalFormatting sqref="W2:W30">
    <cfRule type="cellIs" priority="20" operator="greaterThan" dxfId="0">
      <formula>0</formula>
    </cfRule>
    <cfRule type="cellIs" priority="19" operator="lessThan" dxfId="1">
      <formula>0</formula>
    </cfRule>
  </conditionalFormatting>
  <conditionalFormatting sqref="W35">
    <cfRule type="cellIs" priority="18" operator="greaterThan" dxfId="0">
      <formula>0</formula>
    </cfRule>
    <cfRule type="cellIs" priority="17" operator="lessThan" dxfId="1">
      <formula>0</formula>
    </cfRule>
  </conditionalFormatting>
  <conditionalFormatting sqref="Z2:Z30">
    <cfRule type="cellIs" priority="16" operator="greaterThan" dxfId="0">
      <formula>0</formula>
    </cfRule>
    <cfRule type="cellIs" priority="15" operator="lessThan" dxfId="1">
      <formula>0</formula>
    </cfRule>
  </conditionalFormatting>
  <conditionalFormatting sqref="Z35">
    <cfRule type="cellIs" priority="14" operator="greaterThan" dxfId="0">
      <formula>0</formula>
    </cfRule>
    <cfRule type="cellIs" priority="13" operator="lessThan" dxfId="1">
      <formula>0</formula>
    </cfRule>
  </conditionalFormatting>
  <conditionalFormatting sqref="AC2:AC32">
    <cfRule type="cellIs" priority="11" operator="lessThan" dxfId="1">
      <formula>0</formula>
    </cfRule>
    <cfRule type="cellIs" priority="12" operator="greaterThan" dxfId="0">
      <formula>0</formula>
    </cfRule>
  </conditionalFormatting>
  <conditionalFormatting sqref="AC35">
    <cfRule type="cellIs" priority="10" operator="greaterThan" dxfId="0">
      <formula>0</formula>
    </cfRule>
    <cfRule type="cellIs" priority="9" operator="lessThan" dxfId="1">
      <formula>0</formula>
    </cfRule>
  </conditionalFormatting>
  <conditionalFormatting sqref="AF2:AF32">
    <cfRule type="cellIs" priority="8" operator="greaterThan" dxfId="0">
      <formula>0</formula>
    </cfRule>
    <cfRule type="cellIs" priority="7" operator="lessThan" dxfId="1">
      <formula>0</formula>
    </cfRule>
  </conditionalFormatting>
  <conditionalFormatting sqref="AF35">
    <cfRule type="cellIs" priority="6" operator="greaterThan" dxfId="0">
      <formula>0</formula>
    </cfRule>
    <cfRule type="cellIs" priority="5" operator="lessThan" dxfId="1">
      <formula>0</formula>
    </cfRule>
  </conditionalFormatting>
  <conditionalFormatting sqref="AI2:AI32">
    <cfRule type="cellIs" priority="4" operator="greaterThan" dxfId="0">
      <formula>0</formula>
    </cfRule>
    <cfRule type="cellIs" priority="3" operator="lessThan" dxfId="1">
      <formula>0</formula>
    </cfRule>
  </conditionalFormatting>
  <conditionalFormatting sqref="AI35">
    <cfRule type="cellIs" priority="2" operator="greaterThan" dxfId="0">
      <formula>0</formula>
    </cfRule>
    <cfRule type="cellIs" priority="1" operator="lessThan" dxfId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selection activeCell="E35" sqref="E35:K35"/>
    </sheetView>
  </sheetViews>
  <sheetFormatPr baseColWidth="8" defaultRowHeight="15"/>
  <cols>
    <col width="18.42578125" customWidth="1" min="1" max="1"/>
    <col width="15.42578125" customWidth="1" style="3" min="2" max="2"/>
    <col width="11.5703125" customWidth="1" min="4" max="4"/>
    <col width="12.5703125" customWidth="1" min="5" max="5"/>
    <col width="11.5703125" customWidth="1" min="7" max="7"/>
    <col width="12.5703125" customWidth="1" min="8" max="8"/>
    <col width="11.5703125" customWidth="1" min="10" max="10"/>
    <col width="10.140625" bestFit="1" customWidth="1" min="11" max="11"/>
    <col width="10.42578125" bestFit="1" customWidth="1" min="13" max="13"/>
    <col width="10.85546875" bestFit="1" customWidth="1" min="14" max="14"/>
    <col width="10.85546875" bestFit="1" customWidth="1" min="17" max="17"/>
    <col width="10.85546875" bestFit="1" customWidth="1" min="20" max="20"/>
    <col width="10.85546875" bestFit="1" customWidth="1" min="23" max="23"/>
    <col width="10.85546875" bestFit="1" customWidth="1" min="26" max="26"/>
    <col width="10.85546875" bestFit="1" customWidth="1" min="29" max="29"/>
    <col width="10.85546875" bestFit="1" customWidth="1" min="32" max="32"/>
    <col width="10.140625" bestFit="1" customWidth="1" min="35" max="35"/>
  </cols>
  <sheetData>
    <row r="1" customFormat="1" s="2">
      <c r="A1" s="9" t="inlineStr">
        <is>
          <t>January</t>
        </is>
      </c>
      <c r="D1" s="9" t="inlineStr">
        <is>
          <t>February</t>
        </is>
      </c>
      <c r="G1" s="9" t="inlineStr">
        <is>
          <t>March</t>
        </is>
      </c>
      <c r="J1" s="2" t="inlineStr">
        <is>
          <t>April</t>
        </is>
      </c>
      <c r="M1" s="2" t="inlineStr">
        <is>
          <t>May</t>
        </is>
      </c>
      <c r="P1" s="2" t="inlineStr">
        <is>
          <t>Jun</t>
        </is>
      </c>
      <c r="S1" s="2" t="inlineStr">
        <is>
          <t>Jul</t>
        </is>
      </c>
      <c r="V1" s="2" t="inlineStr">
        <is>
          <t>Aug</t>
        </is>
      </c>
      <c r="Y1" s="2" t="inlineStr">
        <is>
          <t>Sep</t>
        </is>
      </c>
      <c r="AB1" s="2" t="inlineStr">
        <is>
          <t>Oct</t>
        </is>
      </c>
      <c r="AE1" s="2" t="inlineStr">
        <is>
          <t>Nov</t>
        </is>
      </c>
      <c r="AH1" s="2" t="inlineStr">
        <is>
          <t>Dec</t>
        </is>
      </c>
    </row>
    <row r="2">
      <c r="A2" t="n">
        <v>1</v>
      </c>
      <c r="D2" t="n">
        <v>1</v>
      </c>
      <c r="E2" s="3" t="n"/>
      <c r="G2" t="n">
        <v>1</v>
      </c>
      <c r="H2" s="3" t="n"/>
      <c r="J2" t="n">
        <v>1</v>
      </c>
      <c r="K2" s="3" t="n"/>
      <c r="M2" t="n">
        <v>1</v>
      </c>
      <c r="N2" s="3" t="n"/>
      <c r="P2" t="n">
        <v>1</v>
      </c>
      <c r="Q2" s="3" t="n"/>
      <c r="S2" t="n">
        <v>1</v>
      </c>
      <c r="T2" s="3" t="n"/>
      <c r="V2" t="n">
        <v>1</v>
      </c>
      <c r="W2" s="3" t="n"/>
      <c r="Y2" t="n">
        <v>1</v>
      </c>
      <c r="Z2" s="3" t="n"/>
      <c r="AB2" t="n">
        <v>1</v>
      </c>
      <c r="AC2" s="3" t="n"/>
      <c r="AE2" t="n">
        <v>1</v>
      </c>
      <c r="AF2" s="3" t="n"/>
      <c r="AH2" t="n">
        <v>1</v>
      </c>
      <c r="AI2" s="3" t="n"/>
    </row>
    <row r="3">
      <c r="A3" t="n">
        <v>2</v>
      </c>
      <c r="D3" t="n">
        <v>2</v>
      </c>
      <c r="E3" s="3" t="n"/>
      <c r="G3" t="n">
        <v>2</v>
      </c>
      <c r="H3" s="3" t="n">
        <v>-9880</v>
      </c>
      <c r="J3" t="n">
        <v>2</v>
      </c>
      <c r="K3" s="3" t="n"/>
      <c r="M3" t="n">
        <v>2</v>
      </c>
      <c r="N3" s="3" t="n"/>
      <c r="P3" t="n">
        <v>2</v>
      </c>
      <c r="Q3" s="3" t="n"/>
      <c r="S3" t="n">
        <v>2</v>
      </c>
      <c r="T3" s="3" t="n"/>
      <c r="V3" t="n">
        <v>2</v>
      </c>
      <c r="W3" s="3" t="n"/>
      <c r="Y3" t="n">
        <v>2</v>
      </c>
      <c r="Z3" s="3" t="n"/>
      <c r="AB3" t="n">
        <v>2</v>
      </c>
      <c r="AC3" s="3" t="n"/>
      <c r="AE3" t="n">
        <v>2</v>
      </c>
      <c r="AF3" s="3" t="n"/>
      <c r="AH3" t="n">
        <v>2</v>
      </c>
      <c r="AI3" s="3" t="n"/>
    </row>
    <row r="4">
      <c r="A4" t="n">
        <v>3</v>
      </c>
      <c r="D4" t="n">
        <v>3</v>
      </c>
      <c r="E4" s="3" t="n"/>
      <c r="G4" t="n">
        <v>3</v>
      </c>
      <c r="H4" s="3" t="n">
        <v>-5970</v>
      </c>
      <c r="J4" t="n">
        <v>3</v>
      </c>
      <c r="K4" s="3" t="n"/>
      <c r="M4" t="n">
        <v>3</v>
      </c>
      <c r="N4" s="3" t="n"/>
      <c r="P4" t="n">
        <v>3</v>
      </c>
      <c r="Q4" s="3" t="n"/>
      <c r="S4" t="n">
        <v>3</v>
      </c>
      <c r="T4" s="3" t="n"/>
      <c r="V4" t="n">
        <v>3</v>
      </c>
      <c r="W4" s="3" t="n"/>
      <c r="Y4" t="n">
        <v>3</v>
      </c>
      <c r="Z4" s="3" t="n"/>
      <c r="AB4" t="n">
        <v>3</v>
      </c>
      <c r="AC4" s="3" t="n"/>
      <c r="AE4" t="n">
        <v>3</v>
      </c>
      <c r="AF4" s="3" t="n"/>
      <c r="AH4" t="n">
        <v>3</v>
      </c>
      <c r="AI4" s="3" t="n"/>
    </row>
    <row r="5">
      <c r="A5" t="n">
        <v>4</v>
      </c>
      <c r="D5" t="n">
        <v>4</v>
      </c>
      <c r="E5" s="3" t="n"/>
      <c r="G5" t="n">
        <v>4</v>
      </c>
      <c r="H5" s="3" t="n">
        <v>6995</v>
      </c>
      <c r="J5" t="n">
        <v>4</v>
      </c>
      <c r="K5" s="3" t="n"/>
      <c r="M5" t="n">
        <v>4</v>
      </c>
      <c r="N5" s="3" t="n"/>
      <c r="P5" t="n">
        <v>4</v>
      </c>
      <c r="Q5" s="3" t="n"/>
      <c r="S5" t="n">
        <v>4</v>
      </c>
      <c r="T5" s="3" t="n"/>
      <c r="V5" t="n">
        <v>4</v>
      </c>
      <c r="W5" s="3" t="n"/>
      <c r="Y5" t="n">
        <v>4</v>
      </c>
      <c r="Z5" s="3" t="n"/>
      <c r="AB5" t="n">
        <v>4</v>
      </c>
      <c r="AC5" s="3" t="n"/>
      <c r="AE5" t="n">
        <v>4</v>
      </c>
      <c r="AF5" s="3" t="n"/>
      <c r="AH5" t="n">
        <v>4</v>
      </c>
      <c r="AI5" s="3" t="n"/>
    </row>
    <row r="6">
      <c r="A6" t="n">
        <v>5</v>
      </c>
      <c r="D6" t="n">
        <v>5</v>
      </c>
      <c r="E6" s="3" t="n"/>
      <c r="G6" t="n">
        <v>5</v>
      </c>
      <c r="H6" s="3" t="n">
        <v>-2330</v>
      </c>
      <c r="J6" t="n">
        <v>5</v>
      </c>
      <c r="K6" s="3" t="n"/>
      <c r="M6" t="n">
        <v>5</v>
      </c>
      <c r="N6" s="3" t="n"/>
      <c r="P6" t="n">
        <v>5</v>
      </c>
      <c r="Q6" s="3" t="n"/>
      <c r="S6" t="n">
        <v>5</v>
      </c>
      <c r="T6" s="3" t="n"/>
      <c r="V6" t="n">
        <v>5</v>
      </c>
      <c r="W6" s="3" t="n"/>
      <c r="Y6" t="n">
        <v>5</v>
      </c>
      <c r="Z6" s="3" t="n"/>
      <c r="AB6" t="n">
        <v>5</v>
      </c>
      <c r="AC6" s="3" t="n"/>
      <c r="AE6" t="n">
        <v>5</v>
      </c>
      <c r="AF6" s="3" t="n"/>
      <c r="AH6" t="n">
        <v>5</v>
      </c>
      <c r="AI6" s="3" t="n"/>
    </row>
    <row r="7">
      <c r="A7" t="n">
        <v>6</v>
      </c>
      <c r="D7" t="n">
        <v>6</v>
      </c>
      <c r="E7" s="3" t="n"/>
      <c r="G7" t="n">
        <v>6</v>
      </c>
      <c r="H7" s="3" t="n">
        <v>9915</v>
      </c>
      <c r="J7" t="n">
        <v>6</v>
      </c>
      <c r="K7" s="3" t="n"/>
      <c r="M7" t="n">
        <v>6</v>
      </c>
      <c r="N7" s="3" t="n"/>
      <c r="P7" t="n">
        <v>6</v>
      </c>
      <c r="Q7" s="3" t="n"/>
      <c r="S7" t="n">
        <v>6</v>
      </c>
      <c r="T7" s="3" t="n"/>
      <c r="V7" t="n">
        <v>6</v>
      </c>
      <c r="W7" s="3" t="n"/>
      <c r="Y7" t="n">
        <v>6</v>
      </c>
      <c r="Z7" s="3" t="n"/>
      <c r="AB7" t="n">
        <v>6</v>
      </c>
      <c r="AC7" s="3" t="n"/>
      <c r="AE7" t="n">
        <v>6</v>
      </c>
      <c r="AF7" s="3" t="n"/>
      <c r="AH7" t="n">
        <v>6</v>
      </c>
      <c r="AI7" s="3" t="n"/>
    </row>
    <row r="8">
      <c r="A8" t="n">
        <v>7</v>
      </c>
      <c r="D8" t="n">
        <v>7</v>
      </c>
      <c r="E8" s="3" t="n"/>
      <c r="G8" t="n">
        <v>7</v>
      </c>
      <c r="H8" s="3" t="n"/>
      <c r="J8" t="n">
        <v>7</v>
      </c>
      <c r="K8" s="3" t="n"/>
      <c r="M8" t="n">
        <v>7</v>
      </c>
      <c r="N8" s="3" t="n"/>
      <c r="P8" t="n">
        <v>7</v>
      </c>
      <c r="Q8" s="3" t="n"/>
      <c r="S8" t="n">
        <v>7</v>
      </c>
      <c r="T8" s="3" t="n"/>
      <c r="V8" t="n">
        <v>7</v>
      </c>
      <c r="W8" s="3" t="n"/>
      <c r="Y8" t="n">
        <v>7</v>
      </c>
      <c r="Z8" s="3" t="n"/>
      <c r="AB8" t="n">
        <v>7</v>
      </c>
      <c r="AC8" s="3" t="n"/>
      <c r="AE8" t="n">
        <v>7</v>
      </c>
      <c r="AF8" s="3" t="n"/>
      <c r="AH8" t="n">
        <v>7</v>
      </c>
      <c r="AI8" s="3" t="n"/>
    </row>
    <row r="9">
      <c r="A9" t="n">
        <v>8</v>
      </c>
      <c r="D9" t="n">
        <v>8</v>
      </c>
      <c r="E9" s="3" t="n"/>
      <c r="G9" t="n">
        <v>8</v>
      </c>
      <c r="H9" s="3" t="n"/>
      <c r="J9" t="n">
        <v>8</v>
      </c>
      <c r="K9" s="3" t="n"/>
      <c r="M9" t="n">
        <v>8</v>
      </c>
      <c r="N9" s="3" t="n"/>
      <c r="P9" t="n">
        <v>8</v>
      </c>
      <c r="Q9" s="3" t="n"/>
      <c r="S9" t="n">
        <v>8</v>
      </c>
      <c r="T9" s="3" t="n"/>
      <c r="V9" t="n">
        <v>8</v>
      </c>
      <c r="W9" s="3" t="n"/>
      <c r="Y9" t="n">
        <v>8</v>
      </c>
      <c r="Z9" s="3" t="n"/>
      <c r="AB9" t="n">
        <v>8</v>
      </c>
      <c r="AC9" s="3" t="n"/>
      <c r="AE9" t="n">
        <v>8</v>
      </c>
      <c r="AF9" s="3" t="n"/>
      <c r="AH9" t="n">
        <v>8</v>
      </c>
      <c r="AI9" s="3" t="n"/>
    </row>
    <row r="10">
      <c r="A10" t="n">
        <v>9</v>
      </c>
      <c r="D10" t="n">
        <v>9</v>
      </c>
      <c r="E10" s="3" t="n"/>
      <c r="G10" t="n">
        <v>9</v>
      </c>
      <c r="H10" s="3" t="n">
        <v>-9240</v>
      </c>
      <c r="J10" t="n">
        <v>9</v>
      </c>
      <c r="K10" s="3" t="n"/>
      <c r="M10" t="n">
        <v>9</v>
      </c>
      <c r="N10" s="3" t="n"/>
      <c r="P10" t="n">
        <v>9</v>
      </c>
      <c r="Q10" s="3" t="n"/>
      <c r="S10" t="n">
        <v>9</v>
      </c>
      <c r="T10" s="3" t="n"/>
      <c r="V10" t="n">
        <v>9</v>
      </c>
      <c r="W10" s="3" t="n"/>
      <c r="Y10" t="n">
        <v>9</v>
      </c>
      <c r="Z10" s="3" t="n"/>
      <c r="AB10" t="n">
        <v>9</v>
      </c>
      <c r="AC10" s="3" t="n"/>
      <c r="AE10" t="n">
        <v>9</v>
      </c>
      <c r="AF10" s="3" t="n"/>
      <c r="AH10" t="n">
        <v>9</v>
      </c>
      <c r="AI10" s="3" t="n"/>
    </row>
    <row r="11">
      <c r="A11" t="n">
        <v>10</v>
      </c>
      <c r="D11" t="n">
        <v>10</v>
      </c>
      <c r="E11" s="3" t="n"/>
      <c r="G11" t="n">
        <v>10</v>
      </c>
      <c r="H11" s="3" t="n">
        <v>-7975</v>
      </c>
      <c r="J11" t="n">
        <v>10</v>
      </c>
      <c r="K11" s="3" t="n"/>
      <c r="M11" t="n">
        <v>10</v>
      </c>
      <c r="N11" s="3" t="n"/>
      <c r="P11" t="n">
        <v>10</v>
      </c>
      <c r="Q11" s="3" t="n"/>
      <c r="S11" t="n">
        <v>10</v>
      </c>
      <c r="T11" s="3" t="n"/>
      <c r="V11" t="n">
        <v>10</v>
      </c>
      <c r="W11" s="3" t="n"/>
      <c r="Y11" t="n">
        <v>10</v>
      </c>
      <c r="Z11" s="3" t="n"/>
      <c r="AB11" t="n">
        <v>10</v>
      </c>
      <c r="AC11" s="3" t="n"/>
      <c r="AE11" t="n">
        <v>10</v>
      </c>
      <c r="AF11" s="3" t="n"/>
      <c r="AH11" t="n">
        <v>10</v>
      </c>
      <c r="AI11" s="3" t="n"/>
    </row>
    <row r="12">
      <c r="A12" t="n">
        <v>11</v>
      </c>
      <c r="D12" t="n">
        <v>11</v>
      </c>
      <c r="E12" s="3" t="n"/>
      <c r="G12" t="n">
        <v>11</v>
      </c>
      <c r="H12" s="3" t="n">
        <v>665</v>
      </c>
      <c r="J12" t="n">
        <v>11</v>
      </c>
      <c r="K12" s="3" t="n"/>
      <c r="M12" t="n">
        <v>11</v>
      </c>
      <c r="N12" s="3" t="n"/>
      <c r="P12" t="n">
        <v>11</v>
      </c>
      <c r="Q12" s="3" t="n"/>
      <c r="S12" t="n">
        <v>11</v>
      </c>
      <c r="T12" s="3" t="n"/>
      <c r="V12" t="n">
        <v>11</v>
      </c>
      <c r="W12" s="3" t="n"/>
      <c r="Y12" t="n">
        <v>11</v>
      </c>
      <c r="Z12" s="3" t="n"/>
      <c r="AB12" t="n">
        <v>11</v>
      </c>
      <c r="AC12" s="3" t="n"/>
      <c r="AE12" t="n">
        <v>11</v>
      </c>
      <c r="AF12" s="3" t="n"/>
      <c r="AH12" t="n">
        <v>11</v>
      </c>
      <c r="AI12" s="3" t="n"/>
    </row>
    <row r="13">
      <c r="A13" t="n">
        <v>12</v>
      </c>
      <c r="D13" t="n">
        <v>12</v>
      </c>
      <c r="E13" s="3" t="n">
        <v>-920</v>
      </c>
      <c r="G13" t="n">
        <v>12</v>
      </c>
      <c r="H13" s="3" t="n">
        <v>11930</v>
      </c>
      <c r="J13" t="n">
        <v>12</v>
      </c>
      <c r="K13" s="3" t="n"/>
      <c r="M13" t="n">
        <v>12</v>
      </c>
      <c r="N13" s="3" t="n"/>
      <c r="P13" t="n">
        <v>12</v>
      </c>
      <c r="Q13" s="3" t="n"/>
      <c r="S13" t="n">
        <v>12</v>
      </c>
      <c r="T13" s="3" t="n"/>
      <c r="V13" t="n">
        <v>12</v>
      </c>
      <c r="W13" s="3" t="n"/>
      <c r="Y13" t="n">
        <v>12</v>
      </c>
      <c r="Z13" s="3" t="n"/>
      <c r="AB13" t="n">
        <v>12</v>
      </c>
      <c r="AC13" s="3" t="n"/>
      <c r="AE13" t="n">
        <v>12</v>
      </c>
      <c r="AF13" s="3" t="n"/>
      <c r="AH13" t="n">
        <v>12</v>
      </c>
      <c r="AI13" s="3" t="n"/>
    </row>
    <row r="14">
      <c r="A14" t="n">
        <v>13</v>
      </c>
      <c r="D14" t="n">
        <v>13</v>
      </c>
      <c r="E14" s="3" t="n">
        <v>800</v>
      </c>
      <c r="G14" t="n">
        <v>13</v>
      </c>
      <c r="H14" s="3" t="n">
        <v>9500</v>
      </c>
      <c r="J14" t="n">
        <v>13</v>
      </c>
      <c r="K14" s="3" t="n"/>
      <c r="M14" t="n">
        <v>13</v>
      </c>
      <c r="N14" s="3" t="n"/>
      <c r="P14" t="n">
        <v>13</v>
      </c>
      <c r="Q14" s="3" t="n"/>
      <c r="S14" t="n">
        <v>13</v>
      </c>
      <c r="T14" s="3" t="n"/>
      <c r="V14" t="n">
        <v>13</v>
      </c>
      <c r="W14" s="3" t="n"/>
      <c r="Y14" t="n">
        <v>13</v>
      </c>
      <c r="Z14" s="3" t="n"/>
      <c r="AB14" t="n">
        <v>13</v>
      </c>
      <c r="AC14" s="3" t="n"/>
      <c r="AE14" t="n">
        <v>13</v>
      </c>
      <c r="AF14" s="3" t="n"/>
      <c r="AH14" t="n">
        <v>13</v>
      </c>
      <c r="AI14" s="3" t="n"/>
    </row>
    <row r="15">
      <c r="A15" t="n">
        <v>14</v>
      </c>
      <c r="D15" t="n">
        <v>14</v>
      </c>
      <c r="E15" s="3" t="n"/>
      <c r="G15" t="n">
        <v>14</v>
      </c>
      <c r="H15" s="3" t="n"/>
      <c r="J15" t="n">
        <v>14</v>
      </c>
      <c r="K15" s="3" t="n"/>
      <c r="M15" t="n">
        <v>14</v>
      </c>
      <c r="N15" s="3" t="n"/>
      <c r="P15" t="n">
        <v>14</v>
      </c>
      <c r="Q15" s="3" t="n"/>
      <c r="S15" t="n">
        <v>14</v>
      </c>
      <c r="T15" s="3" t="n"/>
      <c r="V15" t="n">
        <v>14</v>
      </c>
      <c r="W15" s="3" t="n"/>
      <c r="Y15" t="n">
        <v>14</v>
      </c>
      <c r="Z15" s="3" t="n"/>
      <c r="AB15" t="n">
        <v>14</v>
      </c>
      <c r="AC15" s="3" t="n"/>
      <c r="AE15" t="n">
        <v>14</v>
      </c>
      <c r="AF15" s="3" t="n"/>
      <c r="AH15" t="n">
        <v>14</v>
      </c>
      <c r="AI15" s="3" t="n"/>
    </row>
    <row r="16">
      <c r="A16" t="n">
        <v>15</v>
      </c>
      <c r="D16" t="n">
        <v>15</v>
      </c>
      <c r="E16" s="3" t="n"/>
      <c r="G16" t="n">
        <v>15</v>
      </c>
      <c r="H16" s="3" t="n"/>
      <c r="J16" t="n">
        <v>15</v>
      </c>
      <c r="K16" s="3" t="n"/>
      <c r="M16" t="n">
        <v>15</v>
      </c>
      <c r="N16" s="3" t="n"/>
      <c r="P16" t="n">
        <v>15</v>
      </c>
      <c r="Q16" s="3" t="n"/>
      <c r="S16" t="n">
        <v>15</v>
      </c>
      <c r="T16" s="3" t="n"/>
      <c r="V16" t="n">
        <v>15</v>
      </c>
      <c r="W16" s="3" t="n"/>
      <c r="Y16" t="n">
        <v>15</v>
      </c>
      <c r="Z16" s="3" t="n"/>
      <c r="AB16" t="n">
        <v>15</v>
      </c>
      <c r="AC16" s="3" t="n"/>
      <c r="AE16" t="n">
        <v>15</v>
      </c>
      <c r="AF16" s="3" t="n"/>
      <c r="AH16" t="n">
        <v>15</v>
      </c>
      <c r="AI16" s="3" t="n"/>
    </row>
    <row r="17">
      <c r="A17" t="n">
        <v>16</v>
      </c>
      <c r="D17" t="n">
        <v>16</v>
      </c>
      <c r="E17" s="3" t="n"/>
      <c r="G17" t="n">
        <v>16</v>
      </c>
      <c r="H17" s="3" t="n">
        <v>4420</v>
      </c>
      <c r="J17" t="n">
        <v>16</v>
      </c>
      <c r="K17" s="3" t="n"/>
      <c r="M17" t="n">
        <v>16</v>
      </c>
      <c r="N17" s="3" t="n"/>
      <c r="P17" t="n">
        <v>16</v>
      </c>
      <c r="Q17" s="3" t="n"/>
      <c r="S17" t="n">
        <v>16</v>
      </c>
      <c r="T17" s="3" t="n"/>
      <c r="V17" t="n">
        <v>16</v>
      </c>
      <c r="W17" s="3" t="n"/>
      <c r="Y17" t="n">
        <v>16</v>
      </c>
      <c r="Z17" s="3" t="n"/>
      <c r="AB17" t="n">
        <v>16</v>
      </c>
      <c r="AC17" s="3" t="n"/>
      <c r="AE17" t="n">
        <v>16</v>
      </c>
      <c r="AF17" s="3" t="n"/>
      <c r="AH17" t="n">
        <v>16</v>
      </c>
      <c r="AI17" s="3" t="n"/>
    </row>
    <row r="18">
      <c r="A18" t="n">
        <v>17</v>
      </c>
      <c r="D18" t="n">
        <v>17</v>
      </c>
      <c r="E18" s="3" t="n">
        <v>370</v>
      </c>
      <c r="G18" t="n">
        <v>17</v>
      </c>
      <c r="H18" s="3" t="n">
        <v>6895</v>
      </c>
      <c r="J18" t="n">
        <v>17</v>
      </c>
      <c r="K18" s="3" t="n"/>
      <c r="M18" t="n">
        <v>17</v>
      </c>
      <c r="N18" s="3" t="n"/>
      <c r="P18" t="n">
        <v>17</v>
      </c>
      <c r="Q18" s="3" t="n"/>
      <c r="S18" t="n">
        <v>17</v>
      </c>
      <c r="T18" s="3" t="n"/>
      <c r="V18" t="n">
        <v>17</v>
      </c>
      <c r="W18" s="3" t="n"/>
      <c r="Y18" t="n">
        <v>17</v>
      </c>
      <c r="Z18" s="3" t="n"/>
      <c r="AB18" t="n">
        <v>17</v>
      </c>
      <c r="AC18" s="3" t="n"/>
      <c r="AE18" t="n">
        <v>17</v>
      </c>
      <c r="AF18" s="3" t="n"/>
      <c r="AH18" t="n">
        <v>17</v>
      </c>
      <c r="AI18" s="3" t="n"/>
    </row>
    <row r="19">
      <c r="A19" t="n">
        <v>18</v>
      </c>
      <c r="D19" t="n">
        <v>18</v>
      </c>
      <c r="E19" s="3" t="n">
        <v>790</v>
      </c>
      <c r="G19" t="n">
        <v>18</v>
      </c>
      <c r="H19" s="3" t="n">
        <v>1170</v>
      </c>
      <c r="J19" t="n">
        <v>18</v>
      </c>
      <c r="K19" s="3" t="n"/>
      <c r="M19" t="n">
        <v>18</v>
      </c>
      <c r="N19" s="3" t="n"/>
      <c r="P19" t="n">
        <v>18</v>
      </c>
      <c r="Q19" s="3" t="n"/>
      <c r="S19" t="n">
        <v>18</v>
      </c>
      <c r="T19" s="3" t="n"/>
      <c r="V19" t="n">
        <v>18</v>
      </c>
      <c r="W19" s="3" t="n"/>
      <c r="Y19" t="n">
        <v>18</v>
      </c>
      <c r="Z19" s="3" t="n"/>
      <c r="AB19" t="n">
        <v>18</v>
      </c>
      <c r="AC19" s="3" t="n"/>
      <c r="AE19" t="n">
        <v>18</v>
      </c>
      <c r="AF19" s="3" t="n"/>
      <c r="AH19" t="n">
        <v>18</v>
      </c>
      <c r="AI19" s="3" t="n"/>
    </row>
    <row r="20">
      <c r="A20" t="n">
        <v>19</v>
      </c>
      <c r="D20" t="n">
        <v>19</v>
      </c>
      <c r="E20" s="3" t="n">
        <v>3357</v>
      </c>
      <c r="G20" t="n">
        <v>19</v>
      </c>
      <c r="H20" s="3" t="n">
        <v>-1335</v>
      </c>
      <c r="J20" t="n">
        <v>19</v>
      </c>
      <c r="K20" s="3" t="n"/>
      <c r="M20" t="n">
        <v>19</v>
      </c>
      <c r="N20" s="3" t="n"/>
      <c r="P20" t="n">
        <v>19</v>
      </c>
      <c r="Q20" s="3" t="n"/>
      <c r="S20" t="n">
        <v>19</v>
      </c>
      <c r="T20" s="3" t="n"/>
      <c r="V20" t="n">
        <v>19</v>
      </c>
      <c r="W20" s="3" t="n"/>
      <c r="Y20" t="n">
        <v>19</v>
      </c>
      <c r="Z20" s="3" t="n"/>
      <c r="AB20" t="n">
        <v>19</v>
      </c>
      <c r="AC20" s="3" t="n"/>
      <c r="AE20" t="n">
        <v>19</v>
      </c>
      <c r="AF20" s="3" t="n"/>
      <c r="AH20" t="n">
        <v>19</v>
      </c>
      <c r="AI20" s="3" t="n"/>
    </row>
    <row r="21">
      <c r="A21" t="n">
        <v>20</v>
      </c>
      <c r="D21" t="n">
        <v>20</v>
      </c>
      <c r="E21" s="3" t="n">
        <v>1895</v>
      </c>
      <c r="G21" t="n">
        <v>20</v>
      </c>
      <c r="H21" s="3" t="n">
        <v>-4240</v>
      </c>
      <c r="J21" t="n">
        <v>20</v>
      </c>
      <c r="K21" s="3" t="n"/>
      <c r="M21" t="n">
        <v>20</v>
      </c>
      <c r="N21" s="3" t="n"/>
      <c r="P21" t="n">
        <v>20</v>
      </c>
      <c r="Q21" s="3" t="n"/>
      <c r="S21" t="n">
        <v>20</v>
      </c>
      <c r="T21" s="3" t="n"/>
      <c r="V21" t="n">
        <v>20</v>
      </c>
      <c r="W21" s="3" t="n"/>
      <c r="Y21" t="n">
        <v>20</v>
      </c>
      <c r="Z21" s="3" t="n"/>
      <c r="AB21" t="n">
        <v>20</v>
      </c>
      <c r="AC21" s="3" t="n"/>
      <c r="AE21" t="n">
        <v>20</v>
      </c>
      <c r="AF21" s="3" t="n"/>
      <c r="AH21" t="n">
        <v>20</v>
      </c>
      <c r="AI21" s="3" t="n"/>
    </row>
    <row r="22">
      <c r="A22" t="n">
        <v>21</v>
      </c>
      <c r="D22" t="n">
        <v>21</v>
      </c>
      <c r="E22" s="3" t="n"/>
      <c r="G22" t="n">
        <v>21</v>
      </c>
      <c r="H22" s="3" t="n"/>
      <c r="J22" t="n">
        <v>21</v>
      </c>
      <c r="K22" s="3" t="n"/>
      <c r="M22" t="n">
        <v>21</v>
      </c>
      <c r="N22" s="3" t="n"/>
      <c r="P22" t="n">
        <v>21</v>
      </c>
      <c r="Q22" s="3" t="n"/>
      <c r="S22" t="n">
        <v>21</v>
      </c>
      <c r="T22" s="3" t="n"/>
      <c r="V22" t="n">
        <v>21</v>
      </c>
      <c r="W22" s="3" t="n"/>
      <c r="Y22" t="n">
        <v>21</v>
      </c>
      <c r="Z22" s="3" t="n"/>
      <c r="AB22" t="n">
        <v>21</v>
      </c>
      <c r="AC22" s="3" t="n"/>
      <c r="AE22" t="n">
        <v>21</v>
      </c>
      <c r="AF22" s="3" t="n"/>
      <c r="AH22" t="n">
        <v>21</v>
      </c>
      <c r="AI22" s="3" t="n"/>
    </row>
    <row r="23">
      <c r="A23" t="n">
        <v>22</v>
      </c>
      <c r="D23" t="n">
        <v>22</v>
      </c>
      <c r="E23" s="3" t="n"/>
      <c r="G23" t="n">
        <v>22</v>
      </c>
      <c r="H23" s="3" t="n"/>
      <c r="J23" t="n">
        <v>22</v>
      </c>
      <c r="K23" s="3" t="n"/>
      <c r="M23" t="n">
        <v>22</v>
      </c>
      <c r="N23" s="3" t="n"/>
      <c r="P23" t="n">
        <v>22</v>
      </c>
      <c r="Q23" s="3" t="n"/>
      <c r="S23" t="n">
        <v>22</v>
      </c>
      <c r="T23" s="3" t="n"/>
      <c r="V23" t="n">
        <v>22</v>
      </c>
      <c r="W23" s="3" t="n"/>
      <c r="Y23" t="n">
        <v>22</v>
      </c>
      <c r="Z23" s="3" t="n"/>
      <c r="AB23" t="n">
        <v>22</v>
      </c>
      <c r="AC23" s="3" t="n"/>
      <c r="AE23" t="n">
        <v>22</v>
      </c>
      <c r="AF23" s="3" t="n"/>
      <c r="AH23" t="n">
        <v>22</v>
      </c>
      <c r="AI23" s="3" t="n"/>
    </row>
    <row r="24">
      <c r="A24" t="n">
        <v>23</v>
      </c>
      <c r="D24" t="n">
        <v>23</v>
      </c>
      <c r="E24" s="3" t="n">
        <v>450</v>
      </c>
      <c r="G24" t="n">
        <v>23</v>
      </c>
      <c r="H24" s="3" t="n">
        <v>-1835</v>
      </c>
      <c r="J24" t="n">
        <v>23</v>
      </c>
      <c r="K24" s="3" t="n"/>
      <c r="M24" t="n">
        <v>23</v>
      </c>
      <c r="N24" s="3" t="n"/>
      <c r="P24" t="n">
        <v>23</v>
      </c>
      <c r="Q24" s="3" t="n"/>
      <c r="S24" t="n">
        <v>23</v>
      </c>
      <c r="T24" s="3" t="n"/>
      <c r="V24" t="n">
        <v>23</v>
      </c>
      <c r="W24" s="3" t="n"/>
      <c r="Y24" t="n">
        <v>23</v>
      </c>
      <c r="Z24" s="3" t="n"/>
      <c r="AB24" t="n">
        <v>23</v>
      </c>
      <c r="AC24" s="3" t="n"/>
      <c r="AE24" t="n">
        <v>23</v>
      </c>
      <c r="AF24" s="3" t="n"/>
      <c r="AH24" t="n">
        <v>23</v>
      </c>
      <c r="AI24" s="3" t="n"/>
    </row>
    <row r="25">
      <c r="A25" t="n">
        <v>24</v>
      </c>
      <c r="D25" t="n">
        <v>24</v>
      </c>
      <c r="E25" s="3" t="n">
        <v>1140</v>
      </c>
      <c r="G25" t="n">
        <v>24</v>
      </c>
      <c r="H25" s="3" t="n">
        <v>-4205</v>
      </c>
      <c r="J25" t="n">
        <v>24</v>
      </c>
      <c r="K25" s="3" t="n"/>
      <c r="M25" t="n">
        <v>24</v>
      </c>
      <c r="N25" s="3" t="n"/>
      <c r="P25" t="n">
        <v>24</v>
      </c>
      <c r="Q25" s="3" t="n"/>
      <c r="S25" t="n">
        <v>24</v>
      </c>
      <c r="T25" s="3" t="n"/>
      <c r="V25" t="n">
        <v>24</v>
      </c>
      <c r="W25" s="3" t="n"/>
      <c r="Y25" t="n">
        <v>24</v>
      </c>
      <c r="Z25" s="3" t="n"/>
      <c r="AB25" t="n">
        <v>24</v>
      </c>
      <c r="AC25" s="3" t="n"/>
      <c r="AE25" t="n">
        <v>24</v>
      </c>
      <c r="AF25" s="3" t="n"/>
      <c r="AH25" t="n">
        <v>24</v>
      </c>
      <c r="AI25" s="3" t="n"/>
    </row>
    <row r="26">
      <c r="A26" t="n">
        <v>25</v>
      </c>
      <c r="D26" t="n">
        <v>25</v>
      </c>
      <c r="E26" s="3" t="n">
        <v>1266</v>
      </c>
      <c r="G26" t="n">
        <v>25</v>
      </c>
      <c r="H26" s="3" t="n">
        <v>-3540</v>
      </c>
      <c r="J26" t="n">
        <v>25</v>
      </c>
      <c r="K26" s="3" t="n"/>
      <c r="M26" t="n">
        <v>25</v>
      </c>
      <c r="N26" s="3" t="n"/>
      <c r="P26" t="n">
        <v>25</v>
      </c>
      <c r="Q26" s="3" t="n"/>
      <c r="S26" t="n">
        <v>25</v>
      </c>
      <c r="T26" s="3" t="n"/>
      <c r="V26" t="n">
        <v>25</v>
      </c>
      <c r="W26" s="3" t="n"/>
      <c r="Y26" t="n">
        <v>25</v>
      </c>
      <c r="Z26" s="3" t="n"/>
      <c r="AB26" t="n">
        <v>25</v>
      </c>
      <c r="AC26" s="3" t="n"/>
      <c r="AE26" t="n">
        <v>25</v>
      </c>
      <c r="AF26" s="3" t="n"/>
      <c r="AH26" t="n">
        <v>25</v>
      </c>
      <c r="AI26" s="3" t="n"/>
    </row>
    <row r="27">
      <c r="A27" t="n">
        <v>26</v>
      </c>
      <c r="D27" t="n">
        <v>26</v>
      </c>
      <c r="E27" s="3" t="n">
        <v>9240</v>
      </c>
      <c r="G27" t="n">
        <v>26</v>
      </c>
      <c r="H27" s="3" t="n">
        <v>5500</v>
      </c>
      <c r="J27" t="n">
        <v>26</v>
      </c>
      <c r="K27" s="3" t="n"/>
      <c r="M27" t="n">
        <v>26</v>
      </c>
      <c r="N27" s="3" t="n"/>
      <c r="P27" t="n">
        <v>26</v>
      </c>
      <c r="Q27" s="3" t="n"/>
      <c r="S27" t="n">
        <v>26</v>
      </c>
      <c r="T27" s="3" t="n"/>
      <c r="V27" t="n">
        <v>26</v>
      </c>
      <c r="W27" s="3" t="n"/>
      <c r="Y27" t="n">
        <v>26</v>
      </c>
      <c r="Z27" s="3" t="n"/>
      <c r="AB27" t="n">
        <v>26</v>
      </c>
      <c r="AC27" s="3" t="n"/>
      <c r="AE27" t="n">
        <v>26</v>
      </c>
      <c r="AF27" s="3" t="n"/>
      <c r="AH27" t="n">
        <v>26</v>
      </c>
      <c r="AI27" s="3" t="n"/>
    </row>
    <row r="28">
      <c r="A28" t="n">
        <v>27</v>
      </c>
      <c r="D28" t="n">
        <v>27</v>
      </c>
      <c r="E28" s="3" t="n">
        <v>1995</v>
      </c>
      <c r="G28" t="n">
        <v>27</v>
      </c>
      <c r="H28" s="3" t="n">
        <v>3205</v>
      </c>
      <c r="J28" t="n">
        <v>27</v>
      </c>
      <c r="K28" s="3" t="n"/>
      <c r="M28" t="n">
        <v>27</v>
      </c>
      <c r="N28" s="3" t="n"/>
      <c r="P28" t="n">
        <v>27</v>
      </c>
      <c r="Q28" s="3" t="n"/>
      <c r="S28" t="n">
        <v>27</v>
      </c>
      <c r="T28" s="3" t="n"/>
      <c r="V28" t="n">
        <v>27</v>
      </c>
      <c r="W28" s="3" t="n"/>
      <c r="Y28" t="n">
        <v>27</v>
      </c>
      <c r="Z28" s="3" t="n"/>
      <c r="AB28" t="n">
        <v>27</v>
      </c>
      <c r="AC28" s="3" t="n"/>
      <c r="AE28" t="n">
        <v>27</v>
      </c>
      <c r="AF28" s="3" t="n"/>
      <c r="AH28" t="n">
        <v>27</v>
      </c>
      <c r="AI28" s="3" t="n"/>
    </row>
    <row r="29">
      <c r="A29" t="n">
        <v>28</v>
      </c>
      <c r="D29" t="n">
        <v>28</v>
      </c>
      <c r="E29" s="3" t="n"/>
      <c r="G29" t="n">
        <v>28</v>
      </c>
      <c r="H29" s="3" t="n"/>
      <c r="J29" t="n">
        <v>28</v>
      </c>
      <c r="K29" s="3" t="n"/>
      <c r="M29" t="n">
        <v>28</v>
      </c>
      <c r="N29" s="3" t="n"/>
      <c r="P29" t="n">
        <v>28</v>
      </c>
      <c r="Q29" s="3" t="n"/>
      <c r="S29" t="n">
        <v>28</v>
      </c>
      <c r="T29" s="3" t="n"/>
      <c r="V29" t="n">
        <v>28</v>
      </c>
      <c r="W29" s="3" t="n"/>
      <c r="Y29" t="n">
        <v>28</v>
      </c>
      <c r="Z29" s="3" t="n"/>
      <c r="AB29" t="n">
        <v>28</v>
      </c>
      <c r="AC29" s="3" t="n"/>
      <c r="AE29" t="n">
        <v>28</v>
      </c>
      <c r="AF29" s="3" t="n"/>
      <c r="AH29" t="n">
        <v>28</v>
      </c>
      <c r="AI29" s="3" t="n"/>
    </row>
    <row r="30">
      <c r="A30" t="n">
        <v>29</v>
      </c>
      <c r="D30" t="n">
        <v>29</v>
      </c>
      <c r="E30" s="3" t="n"/>
      <c r="G30" t="n">
        <v>29</v>
      </c>
      <c r="H30" s="3" t="n"/>
      <c r="J30" t="n">
        <v>29</v>
      </c>
      <c r="K30" s="3" t="n"/>
      <c r="M30" t="n">
        <v>29</v>
      </c>
      <c r="N30" s="3" t="n"/>
      <c r="P30" t="n">
        <v>29</v>
      </c>
      <c r="Q30" s="3" t="n"/>
      <c r="S30" t="n">
        <v>29</v>
      </c>
      <c r="T30" s="3" t="n"/>
      <c r="V30" t="n">
        <v>29</v>
      </c>
      <c r="W30" s="3" t="n"/>
      <c r="Y30" t="n">
        <v>29</v>
      </c>
      <c r="Z30" s="3" t="n"/>
      <c r="AB30" t="n">
        <v>29</v>
      </c>
      <c r="AC30" s="3" t="n"/>
      <c r="AE30" t="n">
        <v>29</v>
      </c>
      <c r="AF30" s="3" t="n"/>
      <c r="AH30" t="n">
        <v>29</v>
      </c>
      <c r="AI30" s="3" t="n"/>
    </row>
    <row r="31">
      <c r="A31" t="n">
        <v>30</v>
      </c>
      <c r="D31" t="n">
        <v>30</v>
      </c>
      <c r="E31" s="3" t="n"/>
      <c r="G31" t="n">
        <v>30</v>
      </c>
      <c r="H31" s="3" t="n">
        <v>4745</v>
      </c>
      <c r="J31" t="n">
        <v>30</v>
      </c>
      <c r="K31" s="3" t="n"/>
      <c r="M31" t="n">
        <v>30</v>
      </c>
      <c r="N31" s="3" t="n"/>
      <c r="P31" t="n">
        <v>30</v>
      </c>
      <c r="S31" t="n">
        <v>30</v>
      </c>
      <c r="V31" t="n">
        <v>30</v>
      </c>
      <c r="Y31" t="n">
        <v>30</v>
      </c>
      <c r="AB31" t="n">
        <v>30</v>
      </c>
      <c r="AC31" s="3" t="n"/>
      <c r="AE31" t="n">
        <v>30</v>
      </c>
      <c r="AF31" s="3" t="n"/>
      <c r="AH31" t="n">
        <v>30</v>
      </c>
      <c r="AI31" s="3" t="n"/>
    </row>
    <row r="32">
      <c r="A32" t="n">
        <v>31</v>
      </c>
      <c r="D32" t="n">
        <v>31</v>
      </c>
      <c r="E32" s="3" t="n"/>
      <c r="G32" t="n">
        <v>31</v>
      </c>
      <c r="H32" s="3" t="n">
        <v>-1353</v>
      </c>
      <c r="J32" t="n">
        <v>31</v>
      </c>
      <c r="K32" s="3" t="n"/>
      <c r="M32" t="n">
        <v>31</v>
      </c>
      <c r="N32" s="3" t="n"/>
      <c r="P32" t="n">
        <v>31</v>
      </c>
      <c r="S32" t="n">
        <v>31</v>
      </c>
      <c r="V32" t="n">
        <v>31</v>
      </c>
      <c r="Y32" t="n">
        <v>31</v>
      </c>
      <c r="AB32" t="n">
        <v>31</v>
      </c>
      <c r="AC32" s="3" t="n"/>
      <c r="AE32" t="n">
        <v>31</v>
      </c>
      <c r="AF32" s="3" t="n"/>
      <c r="AH32" t="n">
        <v>31</v>
      </c>
      <c r="AI32" s="3" t="n"/>
    </row>
    <row r="33">
      <c r="E33" s="3" t="n"/>
      <c r="H33" s="3" t="n"/>
    </row>
    <row r="34">
      <c r="E34" s="3" t="n"/>
      <c r="H34" s="3" t="n"/>
    </row>
    <row r="35">
      <c r="A35" t="inlineStr">
        <is>
          <t>Total</t>
        </is>
      </c>
      <c r="E35" s="3">
        <f>SUM(E2:E28)</f>
        <v/>
      </c>
      <c r="H35" s="3">
        <f>SUM(H2:H34)</f>
        <v/>
      </c>
      <c r="K35" s="3">
        <f>SUM(K2:K34)</f>
        <v/>
      </c>
      <c r="N35" s="3">
        <f>SUM(N2:N34)</f>
        <v/>
      </c>
      <c r="Q35" s="3">
        <f>SUM(Q2:Q34)</f>
        <v/>
      </c>
      <c r="T35" s="3">
        <f>SUM(T2:T34)</f>
        <v/>
      </c>
      <c r="W35" s="3">
        <f>SUM(W2:W34)</f>
        <v/>
      </c>
      <c r="Z35" s="3">
        <f>SUM(Z2:Z34)</f>
        <v/>
      </c>
      <c r="AC35" s="3">
        <f>SUM(AC2:AC34)</f>
        <v/>
      </c>
      <c r="AF35" s="3">
        <f>SUM(AF2:AF34)</f>
        <v/>
      </c>
      <c r="AI35" s="3">
        <f>SUM(AI2:AI34)</f>
        <v/>
      </c>
    </row>
  </sheetData>
  <mergeCells count="3">
    <mergeCell ref="D1:E1"/>
    <mergeCell ref="G1:H1"/>
    <mergeCell ref="A1:B1"/>
  </mergeCells>
  <conditionalFormatting sqref="B2:B32">
    <cfRule type="cellIs" priority="43" operator="lessThan" dxfId="1">
      <formula>0</formula>
    </cfRule>
    <cfRule type="cellIs" priority="44" operator="greaterThan" dxfId="0">
      <formula>0</formula>
    </cfRule>
  </conditionalFormatting>
  <conditionalFormatting sqref="B35">
    <cfRule type="cellIs" priority="42" operator="greaterThan" dxfId="0">
      <formula>0</formula>
    </cfRule>
    <cfRule type="cellIs" priority="41" operator="lessThan" dxfId="1">
      <formula>0</formula>
    </cfRule>
  </conditionalFormatting>
  <conditionalFormatting sqref="E2:E35">
    <cfRule type="cellIs" priority="39" operator="lessThan" dxfId="1">
      <formula>0</formula>
    </cfRule>
    <cfRule type="cellIs" priority="40" operator="greaterThan" dxfId="0">
      <formula>0</formula>
    </cfRule>
  </conditionalFormatting>
  <conditionalFormatting sqref="H2:H35">
    <cfRule type="cellIs" priority="34" operator="greaterThan" dxfId="0">
      <formula>0</formula>
    </cfRule>
    <cfRule type="cellIs" priority="33" operator="lessThan" dxfId="1">
      <formula>0</formula>
    </cfRule>
  </conditionalFormatting>
  <conditionalFormatting sqref="K2:K32">
    <cfRule type="cellIs" priority="38" operator="greaterThan" dxfId="0">
      <formula>0</formula>
    </cfRule>
    <cfRule type="cellIs" priority="37" operator="lessThan" dxfId="1">
      <formula>0</formula>
    </cfRule>
  </conditionalFormatting>
  <conditionalFormatting sqref="K35">
    <cfRule type="cellIs" priority="36" operator="greaterThan" dxfId="0">
      <formula>0</formula>
    </cfRule>
    <cfRule type="cellIs" priority="35" operator="lessThan" dxfId="1">
      <formula>0</formula>
    </cfRule>
  </conditionalFormatting>
  <conditionalFormatting sqref="N2:N32">
    <cfRule type="cellIs" priority="32" operator="greaterThan" dxfId="0">
      <formula>0</formula>
    </cfRule>
    <cfRule type="cellIs" priority="31" operator="lessThan" dxfId="1">
      <formula>0</formula>
    </cfRule>
  </conditionalFormatting>
  <conditionalFormatting sqref="N35">
    <cfRule type="cellIs" priority="30" operator="greaterThan" dxfId="0">
      <formula>0</formula>
    </cfRule>
    <cfRule type="cellIs" priority="29" operator="lessThan" dxfId="1">
      <formula>0</formula>
    </cfRule>
  </conditionalFormatting>
  <conditionalFormatting sqref="Q2:Q30">
    <cfRule type="cellIs" priority="28" operator="greaterThan" dxfId="0">
      <formula>0</formula>
    </cfRule>
    <cfRule type="cellIs" priority="27" operator="lessThan" dxfId="1">
      <formula>0</formula>
    </cfRule>
  </conditionalFormatting>
  <conditionalFormatting sqref="Q35">
    <cfRule type="cellIs" priority="26" operator="greaterThan" dxfId="0">
      <formula>0</formula>
    </cfRule>
    <cfRule type="cellIs" priority="25" operator="lessThan" dxfId="1">
      <formula>0</formula>
    </cfRule>
  </conditionalFormatting>
  <conditionalFormatting sqref="T2:T30">
    <cfRule type="cellIs" priority="23" operator="lessThan" dxfId="1">
      <formula>0</formula>
    </cfRule>
    <cfRule type="cellIs" priority="24" operator="greaterThan" dxfId="0">
      <formula>0</formula>
    </cfRule>
  </conditionalFormatting>
  <conditionalFormatting sqref="T35">
    <cfRule type="cellIs" priority="22" operator="greaterThan" dxfId="0">
      <formula>0</formula>
    </cfRule>
    <cfRule type="cellIs" priority="21" operator="lessThan" dxfId="1">
      <formula>0</formula>
    </cfRule>
  </conditionalFormatting>
  <conditionalFormatting sqref="W2:W30">
    <cfRule type="cellIs" priority="20" operator="greaterThan" dxfId="0">
      <formula>0</formula>
    </cfRule>
    <cfRule type="cellIs" priority="19" operator="lessThan" dxfId="1">
      <formula>0</formula>
    </cfRule>
  </conditionalFormatting>
  <conditionalFormatting sqref="W35">
    <cfRule type="cellIs" priority="18" operator="greaterThan" dxfId="0">
      <formula>0</formula>
    </cfRule>
    <cfRule type="cellIs" priority="17" operator="lessThan" dxfId="1">
      <formula>0</formula>
    </cfRule>
  </conditionalFormatting>
  <conditionalFormatting sqref="Z2:Z30">
    <cfRule type="cellIs" priority="16" operator="greaterThan" dxfId="0">
      <formula>0</formula>
    </cfRule>
    <cfRule type="cellIs" priority="15" operator="lessThan" dxfId="1">
      <formula>0</formula>
    </cfRule>
  </conditionalFormatting>
  <conditionalFormatting sqref="Z35">
    <cfRule type="cellIs" priority="14" operator="greaterThan" dxfId="0">
      <formula>0</formula>
    </cfRule>
    <cfRule type="cellIs" priority="13" operator="lessThan" dxfId="1">
      <formula>0</formula>
    </cfRule>
  </conditionalFormatting>
  <conditionalFormatting sqref="AC2:AC32">
    <cfRule type="cellIs" priority="11" operator="lessThan" dxfId="1">
      <formula>0</formula>
    </cfRule>
    <cfRule type="cellIs" priority="12" operator="greaterThan" dxfId="0">
      <formula>0</formula>
    </cfRule>
  </conditionalFormatting>
  <conditionalFormatting sqref="AC35">
    <cfRule type="cellIs" priority="10" operator="greaterThan" dxfId="0">
      <formula>0</formula>
    </cfRule>
    <cfRule type="cellIs" priority="9" operator="lessThan" dxfId="1">
      <formula>0</formula>
    </cfRule>
  </conditionalFormatting>
  <conditionalFormatting sqref="AF2:AF32">
    <cfRule type="cellIs" priority="8" operator="greaterThan" dxfId="0">
      <formula>0</formula>
    </cfRule>
    <cfRule type="cellIs" priority="7" operator="lessThan" dxfId="1">
      <formula>0</formula>
    </cfRule>
  </conditionalFormatting>
  <conditionalFormatting sqref="AF35">
    <cfRule type="cellIs" priority="6" operator="greaterThan" dxfId="0">
      <formula>0</formula>
    </cfRule>
    <cfRule type="cellIs" priority="5" operator="lessThan" dxfId="1">
      <formula>0</formula>
    </cfRule>
  </conditionalFormatting>
  <conditionalFormatting sqref="AI2:AI32">
    <cfRule type="cellIs" priority="4" operator="greaterThan" dxfId="0">
      <formula>0</formula>
    </cfRule>
    <cfRule type="cellIs" priority="3" operator="lessThan" dxfId="1">
      <formula>0</formula>
    </cfRule>
  </conditionalFormatting>
  <conditionalFormatting sqref="AI35">
    <cfRule type="cellIs" priority="2" operator="greaterThan" dxfId="0">
      <formula>0</formula>
    </cfRule>
    <cfRule type="cellIs" priority="1" operator="lessThan" dxfId="1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AI35"/>
  <sheetViews>
    <sheetView workbookViewId="0">
      <selection activeCell="B35" sqref="B35:L35"/>
    </sheetView>
  </sheetViews>
  <sheetFormatPr baseColWidth="8" defaultRowHeight="15"/>
  <cols>
    <col width="18.42578125" customWidth="1" min="1" max="1"/>
    <col width="15.42578125" customWidth="1" style="3" min="2" max="2"/>
    <col width="11.5703125" customWidth="1" min="4" max="4"/>
    <col width="12.5703125" customWidth="1" min="5" max="5"/>
    <col width="11.5703125" customWidth="1" min="7" max="7"/>
    <col width="12.5703125" customWidth="1" min="8" max="8"/>
    <col width="11.5703125" customWidth="1" min="10" max="10"/>
    <col width="10.140625" bestFit="1" customWidth="1" min="11" max="11"/>
    <col width="10.42578125" bestFit="1" customWidth="1" min="13" max="13"/>
    <col width="10.85546875" bestFit="1" customWidth="1" min="14" max="14"/>
    <col width="10.85546875" bestFit="1" customWidth="1" min="17" max="17"/>
    <col width="10.85546875" bestFit="1" customWidth="1" min="20" max="20"/>
    <col width="10.85546875" bestFit="1" customWidth="1" min="23" max="23"/>
    <col width="10.85546875" bestFit="1" customWidth="1" min="26" max="26"/>
    <col width="10.85546875" bestFit="1" customWidth="1" min="29" max="29"/>
    <col width="10.85546875" bestFit="1" customWidth="1" min="32" max="32"/>
    <col width="10.140625" bestFit="1" customWidth="1" min="35" max="35"/>
  </cols>
  <sheetData>
    <row r="1" customFormat="1" s="2">
      <c r="A1" s="9" t="inlineStr">
        <is>
          <t>January</t>
        </is>
      </c>
      <c r="D1" s="9" t="inlineStr">
        <is>
          <t>February</t>
        </is>
      </c>
      <c r="G1" s="9" t="inlineStr">
        <is>
          <t>March</t>
        </is>
      </c>
      <c r="J1" s="2" t="inlineStr">
        <is>
          <t>April</t>
        </is>
      </c>
      <c r="M1" s="2" t="inlineStr">
        <is>
          <t>May</t>
        </is>
      </c>
      <c r="P1" s="2" t="inlineStr">
        <is>
          <t>Jun</t>
        </is>
      </c>
      <c r="S1" s="2" t="inlineStr">
        <is>
          <t>Jul</t>
        </is>
      </c>
      <c r="V1" s="2" t="inlineStr">
        <is>
          <t>Aug</t>
        </is>
      </c>
      <c r="Y1" s="2" t="inlineStr">
        <is>
          <t>Sep</t>
        </is>
      </c>
      <c r="AB1" s="2" t="inlineStr">
        <is>
          <t>Oct</t>
        </is>
      </c>
      <c r="AE1" s="2" t="inlineStr">
        <is>
          <t>Nov</t>
        </is>
      </c>
      <c r="AH1" s="2" t="inlineStr">
        <is>
          <t>Dec</t>
        </is>
      </c>
    </row>
    <row r="2">
      <c r="A2" t="n">
        <v>1</v>
      </c>
      <c r="D2" t="n">
        <v>1</v>
      </c>
      <c r="E2" s="3" t="n"/>
      <c r="G2" t="n">
        <v>1</v>
      </c>
      <c r="H2" s="3" t="n"/>
      <c r="J2" t="n">
        <v>1</v>
      </c>
      <c r="K2" s="3" t="n"/>
      <c r="M2" t="n">
        <v>1</v>
      </c>
      <c r="N2" s="3" t="n"/>
      <c r="P2" t="n">
        <v>1</v>
      </c>
      <c r="Q2" s="3" t="n"/>
      <c r="S2" t="n">
        <v>1</v>
      </c>
      <c r="T2" s="3" t="n"/>
      <c r="V2" t="n">
        <v>1</v>
      </c>
      <c r="W2" s="3" t="n"/>
      <c r="Y2" t="n">
        <v>1</v>
      </c>
      <c r="Z2" s="3" t="n"/>
      <c r="AB2" t="n">
        <v>1</v>
      </c>
      <c r="AC2" s="3" t="n"/>
      <c r="AE2" t="n">
        <v>1</v>
      </c>
      <c r="AF2" s="3" t="n"/>
      <c r="AH2" t="n">
        <v>1</v>
      </c>
      <c r="AI2" s="3" t="n"/>
    </row>
    <row r="3">
      <c r="A3" t="n">
        <v>2</v>
      </c>
      <c r="B3" s="3" t="n">
        <v>-3940</v>
      </c>
      <c r="D3" t="n">
        <v>2</v>
      </c>
      <c r="E3" s="3" t="n">
        <v>-660</v>
      </c>
      <c r="G3" t="n">
        <v>2</v>
      </c>
      <c r="H3" s="3" t="n">
        <v>-5880</v>
      </c>
      <c r="J3" t="n">
        <v>2</v>
      </c>
      <c r="K3" s="3" t="n"/>
      <c r="M3" t="n">
        <v>2</v>
      </c>
      <c r="N3" s="3" t="n"/>
      <c r="P3" t="n">
        <v>2</v>
      </c>
      <c r="Q3" s="3" t="n"/>
      <c r="S3" t="n">
        <v>2</v>
      </c>
      <c r="T3" s="3" t="n"/>
      <c r="V3" t="n">
        <v>2</v>
      </c>
      <c r="W3" s="3" t="n"/>
      <c r="Y3" t="n">
        <v>2</v>
      </c>
      <c r="Z3" s="3" t="n"/>
      <c r="AB3" t="n">
        <v>2</v>
      </c>
      <c r="AC3" s="3" t="n"/>
      <c r="AE3" t="n">
        <v>2</v>
      </c>
      <c r="AF3" s="3" t="n"/>
      <c r="AH3" t="n">
        <v>2</v>
      </c>
      <c r="AI3" s="3" t="n"/>
    </row>
    <row r="4">
      <c r="A4" t="n">
        <v>3</v>
      </c>
      <c r="D4" t="n">
        <v>3</v>
      </c>
      <c r="E4" s="3" t="n">
        <v>210</v>
      </c>
      <c r="G4" t="n">
        <v>3</v>
      </c>
      <c r="H4" s="3" t="n"/>
      <c r="J4" t="n">
        <v>3</v>
      </c>
      <c r="K4" s="3" t="n"/>
      <c r="M4" t="n">
        <v>3</v>
      </c>
      <c r="N4" s="3" t="n"/>
      <c r="P4" t="n">
        <v>3</v>
      </c>
      <c r="Q4" s="3" t="n"/>
      <c r="S4" t="n">
        <v>3</v>
      </c>
      <c r="T4" s="3" t="n"/>
      <c r="V4" t="n">
        <v>3</v>
      </c>
      <c r="W4" s="3" t="n"/>
      <c r="Y4" t="n">
        <v>3</v>
      </c>
      <c r="Z4" s="3" t="n"/>
      <c r="AB4" t="n">
        <v>3</v>
      </c>
      <c r="AC4" s="3" t="n"/>
      <c r="AE4" t="n">
        <v>3</v>
      </c>
      <c r="AF4" s="3" t="n"/>
      <c r="AH4" t="n">
        <v>3</v>
      </c>
      <c r="AI4" s="3" t="n"/>
    </row>
    <row r="5">
      <c r="A5" t="n">
        <v>4</v>
      </c>
      <c r="D5" t="n">
        <v>4</v>
      </c>
      <c r="E5" s="3" t="n">
        <v>-1895</v>
      </c>
      <c r="G5" t="n">
        <v>4</v>
      </c>
      <c r="H5" s="3" t="n">
        <v>3150</v>
      </c>
      <c r="J5" t="n">
        <v>4</v>
      </c>
      <c r="K5" s="3" t="n"/>
      <c r="M5" t="n">
        <v>4</v>
      </c>
      <c r="N5" s="3" t="n"/>
      <c r="P5" t="n">
        <v>4</v>
      </c>
      <c r="Q5" s="3" t="n"/>
      <c r="S5" t="n">
        <v>4</v>
      </c>
      <c r="T5" s="3" t="n"/>
      <c r="V5" t="n">
        <v>4</v>
      </c>
      <c r="W5" s="3" t="n"/>
      <c r="Y5" t="n">
        <v>4</v>
      </c>
      <c r="Z5" s="3" t="n"/>
      <c r="AB5" t="n">
        <v>4</v>
      </c>
      <c r="AC5" s="3" t="n"/>
      <c r="AE5" t="n">
        <v>4</v>
      </c>
      <c r="AF5" s="3" t="n"/>
      <c r="AH5" t="n">
        <v>4</v>
      </c>
      <c r="AI5" s="3" t="n"/>
    </row>
    <row r="6">
      <c r="A6" t="n">
        <v>5</v>
      </c>
      <c r="B6" s="3" t="n">
        <v>685</v>
      </c>
      <c r="D6" t="n">
        <v>5</v>
      </c>
      <c r="E6" s="3" t="n"/>
      <c r="G6" t="n">
        <v>5</v>
      </c>
      <c r="H6" s="3" t="n"/>
      <c r="J6" t="n">
        <v>5</v>
      </c>
      <c r="K6" s="3" t="n"/>
      <c r="M6" t="n">
        <v>5</v>
      </c>
      <c r="N6" s="3" t="n"/>
      <c r="P6" t="n">
        <v>5</v>
      </c>
      <c r="Q6" s="3" t="n"/>
      <c r="S6" t="n">
        <v>5</v>
      </c>
      <c r="T6" s="3" t="n"/>
      <c r="V6" t="n">
        <v>5</v>
      </c>
      <c r="W6" s="3" t="n"/>
      <c r="Y6" t="n">
        <v>5</v>
      </c>
      <c r="Z6" s="3" t="n"/>
      <c r="AB6" t="n">
        <v>5</v>
      </c>
      <c r="AC6" s="3" t="n"/>
      <c r="AE6" t="n">
        <v>5</v>
      </c>
      <c r="AF6" s="3" t="n"/>
      <c r="AH6" t="n">
        <v>5</v>
      </c>
      <c r="AI6" s="3" t="n"/>
    </row>
    <row r="7">
      <c r="A7" t="n">
        <v>6</v>
      </c>
      <c r="B7" s="3" t="n">
        <v>-5030</v>
      </c>
      <c r="D7" t="n">
        <v>6</v>
      </c>
      <c r="E7" s="3" t="n">
        <v>-1110</v>
      </c>
      <c r="G7" t="n">
        <v>6</v>
      </c>
      <c r="H7" s="3" t="n">
        <v>45</v>
      </c>
      <c r="J7" t="n">
        <v>6</v>
      </c>
      <c r="K7" s="3" t="n"/>
      <c r="M7" t="n">
        <v>6</v>
      </c>
      <c r="N7" s="3" t="n"/>
      <c r="P7" t="n">
        <v>6</v>
      </c>
      <c r="Q7" s="3" t="n"/>
      <c r="S7" t="n">
        <v>6</v>
      </c>
      <c r="T7" s="3" t="n"/>
      <c r="V7" t="n">
        <v>6</v>
      </c>
      <c r="W7" s="3" t="n"/>
      <c r="Y7" t="n">
        <v>6</v>
      </c>
      <c r="Z7" s="3" t="n"/>
      <c r="AB7" t="n">
        <v>6</v>
      </c>
      <c r="AC7" s="3" t="n"/>
      <c r="AE7" t="n">
        <v>6</v>
      </c>
      <c r="AF7" s="3" t="n"/>
      <c r="AH7" t="n">
        <v>6</v>
      </c>
      <c r="AI7" s="3" t="n"/>
    </row>
    <row r="8">
      <c r="A8" t="n">
        <v>7</v>
      </c>
      <c r="B8" s="3" t="n">
        <v>-235</v>
      </c>
      <c r="D8" t="n">
        <v>7</v>
      </c>
      <c r="E8" s="3" t="n"/>
      <c r="G8" t="n">
        <v>7</v>
      </c>
      <c r="H8" s="3" t="n"/>
      <c r="J8" t="n">
        <v>7</v>
      </c>
      <c r="K8" s="3" t="n"/>
      <c r="M8" t="n">
        <v>7</v>
      </c>
      <c r="N8" s="3" t="n"/>
      <c r="P8" t="n">
        <v>7</v>
      </c>
      <c r="Q8" s="3" t="n"/>
      <c r="S8" t="n">
        <v>7</v>
      </c>
      <c r="T8" s="3" t="n"/>
      <c r="V8" t="n">
        <v>7</v>
      </c>
      <c r="W8" s="3" t="n"/>
      <c r="Y8" t="n">
        <v>7</v>
      </c>
      <c r="Z8" s="3" t="n"/>
      <c r="AB8" t="n">
        <v>7</v>
      </c>
      <c r="AC8" s="3" t="n"/>
      <c r="AE8" t="n">
        <v>7</v>
      </c>
      <c r="AF8" s="3" t="n"/>
      <c r="AH8" t="n">
        <v>7</v>
      </c>
      <c r="AI8" s="3" t="n"/>
    </row>
    <row r="9">
      <c r="A9" t="n">
        <v>8</v>
      </c>
      <c r="D9" t="n">
        <v>8</v>
      </c>
      <c r="E9" s="3" t="n"/>
      <c r="G9" t="n">
        <v>8</v>
      </c>
      <c r="H9" s="3" t="n"/>
      <c r="J9" t="n">
        <v>8</v>
      </c>
      <c r="K9" s="3" t="n"/>
      <c r="M9" t="n">
        <v>8</v>
      </c>
      <c r="N9" s="3" t="n"/>
      <c r="P9" t="n">
        <v>8</v>
      </c>
      <c r="Q9" s="3" t="n"/>
      <c r="S9" t="n">
        <v>8</v>
      </c>
      <c r="T9" s="3" t="n"/>
      <c r="V9" t="n">
        <v>8</v>
      </c>
      <c r="W9" s="3" t="n"/>
      <c r="Y9" t="n">
        <v>8</v>
      </c>
      <c r="Z9" s="3" t="n"/>
      <c r="AB9" t="n">
        <v>8</v>
      </c>
      <c r="AC9" s="3" t="n"/>
      <c r="AE9" t="n">
        <v>8</v>
      </c>
      <c r="AF9" s="3" t="n"/>
      <c r="AH9" t="n">
        <v>8</v>
      </c>
      <c r="AI9" s="3" t="n"/>
    </row>
    <row r="10">
      <c r="A10" t="n">
        <v>9</v>
      </c>
      <c r="B10" s="3" t="n">
        <v>1151</v>
      </c>
      <c r="D10" t="n">
        <v>9</v>
      </c>
      <c r="E10" s="3" t="n">
        <v>-1126</v>
      </c>
      <c r="G10" t="n">
        <v>9</v>
      </c>
      <c r="H10" s="3" t="n">
        <v>-5430</v>
      </c>
      <c r="J10" t="n">
        <v>9</v>
      </c>
      <c r="K10" s="3" t="n"/>
      <c r="M10" t="n">
        <v>9</v>
      </c>
      <c r="N10" s="3" t="n"/>
      <c r="P10" t="n">
        <v>9</v>
      </c>
      <c r="Q10" s="3" t="n"/>
      <c r="S10" t="n">
        <v>9</v>
      </c>
      <c r="T10" s="3" t="n"/>
      <c r="V10" t="n">
        <v>9</v>
      </c>
      <c r="W10" s="3" t="n"/>
      <c r="Y10" t="n">
        <v>9</v>
      </c>
      <c r="Z10" s="3" t="n"/>
      <c r="AB10" t="n">
        <v>9</v>
      </c>
      <c r="AC10" s="3" t="n"/>
      <c r="AE10" t="n">
        <v>9</v>
      </c>
      <c r="AF10" s="3" t="n"/>
      <c r="AH10" t="n">
        <v>9</v>
      </c>
      <c r="AI10" s="3" t="n"/>
    </row>
    <row r="11">
      <c r="A11" t="n">
        <v>10</v>
      </c>
      <c r="D11" t="n">
        <v>10</v>
      </c>
      <c r="E11" s="3" t="n">
        <v>720</v>
      </c>
      <c r="G11" t="n">
        <v>10</v>
      </c>
      <c r="H11" s="3" t="n"/>
      <c r="J11" t="n">
        <v>10</v>
      </c>
      <c r="K11" s="3" t="n"/>
      <c r="M11" t="n">
        <v>10</v>
      </c>
      <c r="N11" s="3" t="n"/>
      <c r="P11" t="n">
        <v>10</v>
      </c>
      <c r="Q11" s="3" t="n"/>
      <c r="S11" t="n">
        <v>10</v>
      </c>
      <c r="T11" s="3" t="n"/>
      <c r="V11" t="n">
        <v>10</v>
      </c>
      <c r="W11" s="3" t="n"/>
      <c r="Y11" t="n">
        <v>10</v>
      </c>
      <c r="Z11" s="3" t="n"/>
      <c r="AB11" t="n">
        <v>10</v>
      </c>
      <c r="AC11" s="3" t="n"/>
      <c r="AE11" t="n">
        <v>10</v>
      </c>
      <c r="AF11" s="3" t="n"/>
      <c r="AH11" t="n">
        <v>10</v>
      </c>
      <c r="AI11" s="3" t="n"/>
    </row>
    <row r="12">
      <c r="A12" t="n">
        <v>11</v>
      </c>
      <c r="D12" t="n">
        <v>11</v>
      </c>
      <c r="E12" s="3" t="n">
        <v>40</v>
      </c>
      <c r="G12" t="n">
        <v>11</v>
      </c>
      <c r="H12" s="3" t="n">
        <v>3330</v>
      </c>
      <c r="J12" t="n">
        <v>11</v>
      </c>
      <c r="K12" s="3" t="n"/>
      <c r="M12" t="n">
        <v>11</v>
      </c>
      <c r="N12" s="3" t="n"/>
      <c r="P12" t="n">
        <v>11</v>
      </c>
      <c r="Q12" s="3" t="n"/>
      <c r="S12" t="n">
        <v>11</v>
      </c>
      <c r="T12" s="3" t="n"/>
      <c r="V12" t="n">
        <v>11</v>
      </c>
      <c r="W12" s="3" t="n"/>
      <c r="Y12" t="n">
        <v>11</v>
      </c>
      <c r="Z12" s="3" t="n"/>
      <c r="AB12" t="n">
        <v>11</v>
      </c>
      <c r="AC12" s="3" t="n"/>
      <c r="AE12" t="n">
        <v>11</v>
      </c>
      <c r="AF12" s="3" t="n"/>
      <c r="AH12" t="n">
        <v>11</v>
      </c>
      <c r="AI12" s="3" t="n"/>
    </row>
    <row r="13">
      <c r="A13" t="n">
        <v>12</v>
      </c>
      <c r="B13" s="3" t="n">
        <v>-1040</v>
      </c>
      <c r="D13" t="n">
        <v>12</v>
      </c>
      <c r="E13" s="3" t="n">
        <v>180</v>
      </c>
      <c r="G13" t="n">
        <v>12</v>
      </c>
      <c r="H13" s="3" t="n"/>
      <c r="J13" t="n">
        <v>12</v>
      </c>
      <c r="K13" s="3" t="n"/>
      <c r="M13" t="n">
        <v>12</v>
      </c>
      <c r="N13" s="3" t="n"/>
      <c r="P13" t="n">
        <v>12</v>
      </c>
      <c r="Q13" s="3" t="n"/>
      <c r="S13" t="n">
        <v>12</v>
      </c>
      <c r="T13" s="3" t="n"/>
      <c r="V13" t="n">
        <v>12</v>
      </c>
      <c r="W13" s="3" t="n"/>
      <c r="Y13" t="n">
        <v>12</v>
      </c>
      <c r="Z13" s="3" t="n"/>
      <c r="AB13" t="n">
        <v>12</v>
      </c>
      <c r="AC13" s="3" t="n"/>
      <c r="AE13" t="n">
        <v>12</v>
      </c>
      <c r="AF13" s="3" t="n"/>
      <c r="AH13" t="n">
        <v>12</v>
      </c>
      <c r="AI13" s="3" t="n"/>
    </row>
    <row r="14">
      <c r="A14" t="n">
        <v>13</v>
      </c>
      <c r="B14" s="3" t="n">
        <v>1401</v>
      </c>
      <c r="D14" t="n">
        <v>13</v>
      </c>
      <c r="E14" s="3" t="n">
        <v>645</v>
      </c>
      <c r="G14" t="n">
        <v>13</v>
      </c>
      <c r="H14" s="3" t="n">
        <v>60</v>
      </c>
      <c r="J14" t="n">
        <v>13</v>
      </c>
      <c r="K14" s="3" t="n"/>
      <c r="M14" t="n">
        <v>13</v>
      </c>
      <c r="N14" s="3" t="n"/>
      <c r="P14" t="n">
        <v>13</v>
      </c>
      <c r="Q14" s="3" t="n"/>
      <c r="S14" t="n">
        <v>13</v>
      </c>
      <c r="T14" s="3" t="n"/>
      <c r="V14" t="n">
        <v>13</v>
      </c>
      <c r="W14" s="3" t="n"/>
      <c r="Y14" t="n">
        <v>13</v>
      </c>
      <c r="Z14" s="3" t="n"/>
      <c r="AB14" t="n">
        <v>13</v>
      </c>
      <c r="AC14" s="3" t="n"/>
      <c r="AE14" t="n">
        <v>13</v>
      </c>
      <c r="AF14" s="3" t="n"/>
      <c r="AH14" t="n">
        <v>13</v>
      </c>
      <c r="AI14" s="3" t="n"/>
    </row>
    <row r="15">
      <c r="A15" t="n">
        <v>14</v>
      </c>
      <c r="B15" s="3" t="n">
        <v>-780</v>
      </c>
      <c r="D15" t="n">
        <v>14</v>
      </c>
      <c r="E15" s="3" t="n"/>
      <c r="G15" t="n">
        <v>14</v>
      </c>
      <c r="H15" s="3" t="n"/>
      <c r="J15" t="n">
        <v>14</v>
      </c>
      <c r="K15" s="3" t="n"/>
      <c r="M15" t="n">
        <v>14</v>
      </c>
      <c r="N15" s="3" t="n"/>
      <c r="P15" t="n">
        <v>14</v>
      </c>
      <c r="Q15" s="3" t="n"/>
      <c r="S15" t="n">
        <v>14</v>
      </c>
      <c r="T15" s="3" t="n"/>
      <c r="V15" t="n">
        <v>14</v>
      </c>
      <c r="W15" s="3" t="n"/>
      <c r="Y15" t="n">
        <v>14</v>
      </c>
      <c r="Z15" s="3" t="n"/>
      <c r="AB15" t="n">
        <v>14</v>
      </c>
      <c r="AC15" s="3" t="n"/>
      <c r="AE15" t="n">
        <v>14</v>
      </c>
      <c r="AF15" s="3" t="n"/>
      <c r="AH15" t="n">
        <v>14</v>
      </c>
      <c r="AI15" s="3" t="n"/>
    </row>
    <row r="16">
      <c r="A16" t="n">
        <v>15</v>
      </c>
      <c r="B16" s="3" t="n">
        <v>115</v>
      </c>
      <c r="D16" t="n">
        <v>15</v>
      </c>
      <c r="E16" s="3" t="n"/>
      <c r="G16" t="n">
        <v>15</v>
      </c>
      <c r="H16" s="3" t="n"/>
      <c r="J16" t="n">
        <v>15</v>
      </c>
      <c r="K16" s="3" t="n"/>
      <c r="M16" t="n">
        <v>15</v>
      </c>
      <c r="N16" s="3" t="n"/>
      <c r="P16" t="n">
        <v>15</v>
      </c>
      <c r="Q16" s="3" t="n"/>
      <c r="S16" t="n">
        <v>15</v>
      </c>
      <c r="T16" s="3" t="n"/>
      <c r="V16" t="n">
        <v>15</v>
      </c>
      <c r="W16" s="3" t="n"/>
      <c r="Y16" t="n">
        <v>15</v>
      </c>
      <c r="Z16" s="3" t="n"/>
      <c r="AB16" t="n">
        <v>15</v>
      </c>
      <c r="AC16" s="3" t="n"/>
      <c r="AE16" t="n">
        <v>15</v>
      </c>
      <c r="AF16" s="3" t="n"/>
      <c r="AH16" t="n">
        <v>15</v>
      </c>
      <c r="AI16" s="3" t="n"/>
    </row>
    <row r="17">
      <c r="A17" t="n">
        <v>16</v>
      </c>
      <c r="B17" s="3" t="n">
        <v>-2190</v>
      </c>
      <c r="D17" t="n">
        <v>16</v>
      </c>
      <c r="E17" s="3" t="n"/>
      <c r="G17" t="n">
        <v>16</v>
      </c>
      <c r="H17" s="3" t="n">
        <v>-8430</v>
      </c>
      <c r="J17" t="n">
        <v>16</v>
      </c>
      <c r="K17" s="3" t="n"/>
      <c r="M17" t="n">
        <v>16</v>
      </c>
      <c r="N17" s="3" t="n"/>
      <c r="P17" t="n">
        <v>16</v>
      </c>
      <c r="Q17" s="3" t="n"/>
      <c r="S17" t="n">
        <v>16</v>
      </c>
      <c r="T17" s="3" t="n"/>
      <c r="V17" t="n">
        <v>16</v>
      </c>
      <c r="W17" s="3" t="n"/>
      <c r="Y17" t="n">
        <v>16</v>
      </c>
      <c r="Z17" s="3" t="n"/>
      <c r="AB17" t="n">
        <v>16</v>
      </c>
      <c r="AC17" s="3" t="n"/>
      <c r="AE17" t="n">
        <v>16</v>
      </c>
      <c r="AF17" s="3" t="n"/>
      <c r="AH17" t="n">
        <v>16</v>
      </c>
      <c r="AI17" s="3" t="n"/>
    </row>
    <row r="18">
      <c r="A18" t="n">
        <v>17</v>
      </c>
      <c r="D18" t="n">
        <v>17</v>
      </c>
      <c r="E18" s="3" t="n">
        <v>40</v>
      </c>
      <c r="G18" t="n">
        <v>17</v>
      </c>
      <c r="H18" s="3" t="n"/>
      <c r="J18" t="n">
        <v>17</v>
      </c>
      <c r="K18" s="3" t="n"/>
      <c r="M18" t="n">
        <v>17</v>
      </c>
      <c r="N18" s="3" t="n"/>
      <c r="P18" t="n">
        <v>17</v>
      </c>
      <c r="Q18" s="3" t="n"/>
      <c r="S18" t="n">
        <v>17</v>
      </c>
      <c r="T18" s="3" t="n"/>
      <c r="V18" t="n">
        <v>17</v>
      </c>
      <c r="W18" s="3" t="n"/>
      <c r="Y18" t="n">
        <v>17</v>
      </c>
      <c r="Z18" s="3" t="n"/>
      <c r="AB18" t="n">
        <v>17</v>
      </c>
      <c r="AC18" s="3" t="n"/>
      <c r="AE18" t="n">
        <v>17</v>
      </c>
      <c r="AF18" s="3" t="n"/>
      <c r="AH18" t="n">
        <v>17</v>
      </c>
      <c r="AI18" s="3" t="n"/>
    </row>
    <row r="19">
      <c r="A19" t="n">
        <v>18</v>
      </c>
      <c r="D19" t="n">
        <v>18</v>
      </c>
      <c r="E19" s="3" t="n">
        <v>2855</v>
      </c>
      <c r="G19" t="n">
        <v>18</v>
      </c>
      <c r="H19" s="3" t="n"/>
      <c r="J19" t="n">
        <v>18</v>
      </c>
      <c r="K19" s="3" t="n"/>
      <c r="M19" t="n">
        <v>18</v>
      </c>
      <c r="N19" s="3" t="n"/>
      <c r="P19" t="n">
        <v>18</v>
      </c>
      <c r="Q19" s="3" t="n"/>
      <c r="S19" t="n">
        <v>18</v>
      </c>
      <c r="T19" s="3" t="n"/>
      <c r="V19" t="n">
        <v>18</v>
      </c>
      <c r="W19" s="3" t="n"/>
      <c r="Y19" t="n">
        <v>18</v>
      </c>
      <c r="Z19" s="3" t="n"/>
      <c r="AB19" t="n">
        <v>18</v>
      </c>
      <c r="AC19" s="3" t="n"/>
      <c r="AE19" t="n">
        <v>18</v>
      </c>
      <c r="AF19" s="3" t="n"/>
      <c r="AH19" t="n">
        <v>18</v>
      </c>
      <c r="AI19" s="3" t="n"/>
    </row>
    <row r="20">
      <c r="A20" t="n">
        <v>19</v>
      </c>
      <c r="D20" t="n">
        <v>19</v>
      </c>
      <c r="E20" s="3" t="n">
        <v>570</v>
      </c>
      <c r="G20" t="n">
        <v>19</v>
      </c>
      <c r="H20" s="3" t="n">
        <v>3010</v>
      </c>
      <c r="J20" t="n">
        <v>19</v>
      </c>
      <c r="K20" s="3" t="n"/>
      <c r="M20" t="n">
        <v>19</v>
      </c>
      <c r="N20" s="3" t="n"/>
      <c r="P20" t="n">
        <v>19</v>
      </c>
      <c r="Q20" s="3" t="n"/>
      <c r="S20" t="n">
        <v>19</v>
      </c>
      <c r="T20" s="3" t="n"/>
      <c r="V20" t="n">
        <v>19</v>
      </c>
      <c r="W20" s="3" t="n"/>
      <c r="Y20" t="n">
        <v>19</v>
      </c>
      <c r="Z20" s="3" t="n"/>
      <c r="AB20" t="n">
        <v>19</v>
      </c>
      <c r="AC20" s="3" t="n"/>
      <c r="AE20" t="n">
        <v>19</v>
      </c>
      <c r="AF20" s="3" t="n"/>
      <c r="AH20" t="n">
        <v>19</v>
      </c>
      <c r="AI20" s="3" t="n"/>
    </row>
    <row r="21">
      <c r="A21" t="n">
        <v>20</v>
      </c>
      <c r="B21" s="3" t="n">
        <v>-455</v>
      </c>
      <c r="D21" t="n">
        <v>20</v>
      </c>
      <c r="E21" s="3" t="n">
        <v>-1480</v>
      </c>
      <c r="G21" t="n">
        <v>20</v>
      </c>
      <c r="H21" s="3" t="n">
        <v>-260</v>
      </c>
      <c r="J21" t="n">
        <v>20</v>
      </c>
      <c r="K21" s="3" t="n"/>
      <c r="M21" t="n">
        <v>20</v>
      </c>
      <c r="N21" s="3" t="n"/>
      <c r="P21" t="n">
        <v>20</v>
      </c>
      <c r="Q21" s="3" t="n"/>
      <c r="S21" t="n">
        <v>20</v>
      </c>
      <c r="T21" s="3" t="n"/>
      <c r="V21" t="n">
        <v>20</v>
      </c>
      <c r="W21" s="3" t="n"/>
      <c r="Y21" t="n">
        <v>20</v>
      </c>
      <c r="Z21" s="3" t="n"/>
      <c r="AB21" t="n">
        <v>20</v>
      </c>
      <c r="AC21" s="3" t="n"/>
      <c r="AE21" t="n">
        <v>20</v>
      </c>
      <c r="AF21" s="3" t="n"/>
      <c r="AH21" t="n">
        <v>20</v>
      </c>
      <c r="AI21" s="3" t="n"/>
    </row>
    <row r="22">
      <c r="A22" t="n">
        <v>21</v>
      </c>
      <c r="B22" s="3" t="n">
        <v>-8230</v>
      </c>
      <c r="D22" t="n">
        <v>21</v>
      </c>
      <c r="E22" s="3" t="n"/>
      <c r="G22" t="n">
        <v>21</v>
      </c>
      <c r="H22" s="3" t="n"/>
      <c r="J22" t="n">
        <v>21</v>
      </c>
      <c r="K22" s="3" t="n"/>
      <c r="M22" t="n">
        <v>21</v>
      </c>
      <c r="N22" s="3" t="n"/>
      <c r="P22" t="n">
        <v>21</v>
      </c>
      <c r="Q22" s="3" t="n"/>
      <c r="S22" t="n">
        <v>21</v>
      </c>
      <c r="T22" s="3" t="n"/>
      <c r="V22" t="n">
        <v>21</v>
      </c>
      <c r="W22" s="3" t="n"/>
      <c r="Y22" t="n">
        <v>21</v>
      </c>
      <c r="Z22" s="3" t="n"/>
      <c r="AB22" t="n">
        <v>21</v>
      </c>
      <c r="AC22" s="3" t="n"/>
      <c r="AE22" t="n">
        <v>21</v>
      </c>
      <c r="AF22" s="3" t="n"/>
      <c r="AH22" t="n">
        <v>21</v>
      </c>
      <c r="AI22" s="3" t="n"/>
    </row>
    <row r="23">
      <c r="A23" t="n">
        <v>22</v>
      </c>
      <c r="B23" s="3" t="n">
        <v>-140</v>
      </c>
      <c r="D23" t="n">
        <v>22</v>
      </c>
      <c r="E23" s="3" t="n"/>
      <c r="G23" t="n">
        <v>22</v>
      </c>
      <c r="H23" s="3" t="n"/>
      <c r="J23" t="n">
        <v>22</v>
      </c>
      <c r="K23" s="3" t="n"/>
      <c r="M23" t="n">
        <v>22</v>
      </c>
      <c r="N23" s="3" t="n"/>
      <c r="P23" t="n">
        <v>22</v>
      </c>
      <c r="Q23" s="3" t="n"/>
      <c r="S23" t="n">
        <v>22</v>
      </c>
      <c r="T23" s="3" t="n"/>
      <c r="V23" t="n">
        <v>22</v>
      </c>
      <c r="W23" s="3" t="n"/>
      <c r="Y23" t="n">
        <v>22</v>
      </c>
      <c r="Z23" s="3" t="n"/>
      <c r="AB23" t="n">
        <v>22</v>
      </c>
      <c r="AC23" s="3" t="n"/>
      <c r="AE23" t="n">
        <v>22</v>
      </c>
      <c r="AF23" s="3" t="n"/>
      <c r="AH23" t="n">
        <v>22</v>
      </c>
      <c r="AI23" s="3" t="n"/>
    </row>
    <row r="24">
      <c r="A24" t="n">
        <v>23</v>
      </c>
      <c r="B24" s="3" t="n">
        <v>-1120</v>
      </c>
      <c r="D24" t="n">
        <v>23</v>
      </c>
      <c r="E24" s="3" t="n">
        <v>1500</v>
      </c>
      <c r="G24" t="n">
        <v>23</v>
      </c>
      <c r="H24" s="3" t="n">
        <v>1365</v>
      </c>
      <c r="J24" t="n">
        <v>23</v>
      </c>
      <c r="K24" s="3" t="n"/>
      <c r="M24" t="n">
        <v>23</v>
      </c>
      <c r="N24" s="3" t="n"/>
      <c r="P24" t="n">
        <v>23</v>
      </c>
      <c r="Q24" s="3" t="n"/>
      <c r="S24" t="n">
        <v>23</v>
      </c>
      <c r="T24" s="3" t="n"/>
      <c r="V24" t="n">
        <v>23</v>
      </c>
      <c r="W24" s="3" t="n"/>
      <c r="Y24" t="n">
        <v>23</v>
      </c>
      <c r="Z24" s="3" t="n"/>
      <c r="AB24" t="n">
        <v>23</v>
      </c>
      <c r="AC24" s="3" t="n"/>
      <c r="AE24" t="n">
        <v>23</v>
      </c>
      <c r="AF24" s="3" t="n"/>
      <c r="AH24" t="n">
        <v>23</v>
      </c>
      <c r="AI24" s="3" t="n"/>
    </row>
    <row r="25">
      <c r="A25" t="n">
        <v>24</v>
      </c>
      <c r="D25" t="n">
        <v>24</v>
      </c>
      <c r="E25" s="3" t="n">
        <v>-80</v>
      </c>
      <c r="G25" t="n">
        <v>24</v>
      </c>
      <c r="H25" s="3" t="n">
        <v>1495</v>
      </c>
      <c r="J25" t="n">
        <v>24</v>
      </c>
      <c r="K25" s="3" t="n"/>
      <c r="M25" t="n">
        <v>24</v>
      </c>
      <c r="N25" s="3" t="n"/>
      <c r="P25" t="n">
        <v>24</v>
      </c>
      <c r="Q25" s="3" t="n"/>
      <c r="S25" t="n">
        <v>24</v>
      </c>
      <c r="T25" s="3" t="n"/>
      <c r="V25" t="n">
        <v>24</v>
      </c>
      <c r="W25" s="3" t="n"/>
      <c r="Y25" t="n">
        <v>24</v>
      </c>
      <c r="Z25" s="3" t="n"/>
      <c r="AB25" t="n">
        <v>24</v>
      </c>
      <c r="AC25" s="3" t="n"/>
      <c r="AE25" t="n">
        <v>24</v>
      </c>
      <c r="AF25" s="3" t="n"/>
      <c r="AH25" t="n">
        <v>24</v>
      </c>
      <c r="AI25" s="3" t="n"/>
    </row>
    <row r="26">
      <c r="A26" t="n">
        <v>25</v>
      </c>
      <c r="D26" t="n">
        <v>25</v>
      </c>
      <c r="E26" s="3" t="n">
        <v>813</v>
      </c>
      <c r="G26" t="n">
        <v>25</v>
      </c>
      <c r="H26" s="3" t="n">
        <v>-1580</v>
      </c>
      <c r="J26" t="n">
        <v>25</v>
      </c>
      <c r="K26" s="3" t="n"/>
      <c r="M26" t="n">
        <v>25</v>
      </c>
      <c r="N26" s="3" t="n"/>
      <c r="P26" t="n">
        <v>25</v>
      </c>
      <c r="Q26" s="3" t="n"/>
      <c r="S26" t="n">
        <v>25</v>
      </c>
      <c r="T26" s="3" t="n"/>
      <c r="V26" t="n">
        <v>25</v>
      </c>
      <c r="W26" s="3" t="n"/>
      <c r="Y26" t="n">
        <v>25</v>
      </c>
      <c r="Z26" s="3" t="n"/>
      <c r="AB26" t="n">
        <v>25</v>
      </c>
      <c r="AC26" s="3" t="n"/>
      <c r="AE26" t="n">
        <v>25</v>
      </c>
      <c r="AF26" s="3" t="n"/>
      <c r="AH26" t="n">
        <v>25</v>
      </c>
      <c r="AI26" s="3" t="n"/>
    </row>
    <row r="27">
      <c r="A27" t="n">
        <v>26</v>
      </c>
      <c r="B27" s="3" t="n">
        <v>3455</v>
      </c>
      <c r="D27" t="n">
        <v>26</v>
      </c>
      <c r="E27" s="3" t="n"/>
      <c r="G27" t="n">
        <v>26</v>
      </c>
      <c r="H27" s="3" t="n">
        <v>362</v>
      </c>
      <c r="J27" t="n">
        <v>26</v>
      </c>
      <c r="K27" s="3" t="n"/>
      <c r="M27" t="n">
        <v>26</v>
      </c>
      <c r="N27" s="3" t="n"/>
      <c r="P27" t="n">
        <v>26</v>
      </c>
      <c r="Q27" s="3" t="n"/>
      <c r="S27" t="n">
        <v>26</v>
      </c>
      <c r="T27" s="3" t="n"/>
      <c r="V27" t="n">
        <v>26</v>
      </c>
      <c r="W27" s="3" t="n"/>
      <c r="Y27" t="n">
        <v>26</v>
      </c>
      <c r="Z27" s="3" t="n"/>
      <c r="AB27" t="n">
        <v>26</v>
      </c>
      <c r="AC27" s="3" t="n"/>
      <c r="AE27" t="n">
        <v>26</v>
      </c>
      <c r="AF27" s="3" t="n"/>
      <c r="AH27" t="n">
        <v>26</v>
      </c>
      <c r="AI27" s="3" t="n"/>
    </row>
    <row r="28">
      <c r="A28" t="n">
        <v>27</v>
      </c>
      <c r="B28" s="3" t="n">
        <v>1770</v>
      </c>
      <c r="D28" t="n">
        <v>27</v>
      </c>
      <c r="E28" s="3" t="n"/>
      <c r="G28" t="n">
        <v>27</v>
      </c>
      <c r="H28" s="3" t="n">
        <v>-20</v>
      </c>
      <c r="J28" t="n">
        <v>27</v>
      </c>
      <c r="K28" s="3" t="n"/>
      <c r="M28" t="n">
        <v>27</v>
      </c>
      <c r="N28" s="3" t="n"/>
      <c r="P28" t="n">
        <v>27</v>
      </c>
      <c r="Q28" s="3" t="n"/>
      <c r="S28" t="n">
        <v>27</v>
      </c>
      <c r="T28" s="3" t="n"/>
      <c r="V28" t="n">
        <v>27</v>
      </c>
      <c r="W28" s="3" t="n"/>
      <c r="Y28" t="n">
        <v>27</v>
      </c>
      <c r="Z28" s="3" t="n"/>
      <c r="AB28" t="n">
        <v>27</v>
      </c>
      <c r="AC28" s="3" t="n"/>
      <c r="AE28" t="n">
        <v>27</v>
      </c>
      <c r="AF28" s="3" t="n"/>
      <c r="AH28" t="n">
        <v>27</v>
      </c>
      <c r="AI28" s="3" t="n"/>
    </row>
    <row r="29">
      <c r="A29" t="n">
        <v>28</v>
      </c>
      <c r="D29" t="n">
        <v>28</v>
      </c>
      <c r="E29" s="3" t="n"/>
      <c r="G29" t="n">
        <v>28</v>
      </c>
      <c r="H29" s="3" t="n"/>
      <c r="J29" t="n">
        <v>28</v>
      </c>
      <c r="K29" s="3" t="n"/>
      <c r="M29" t="n">
        <v>28</v>
      </c>
      <c r="N29" s="3" t="n"/>
      <c r="P29" t="n">
        <v>28</v>
      </c>
      <c r="Q29" s="3" t="n"/>
      <c r="S29" t="n">
        <v>28</v>
      </c>
      <c r="T29" s="3" t="n"/>
      <c r="V29" t="n">
        <v>28</v>
      </c>
      <c r="W29" s="3" t="n"/>
      <c r="Y29" t="n">
        <v>28</v>
      </c>
      <c r="Z29" s="3" t="n"/>
      <c r="AB29" t="n">
        <v>28</v>
      </c>
      <c r="AC29" s="3" t="n"/>
      <c r="AE29" t="n">
        <v>28</v>
      </c>
      <c r="AF29" s="3" t="n"/>
      <c r="AH29" t="n">
        <v>28</v>
      </c>
      <c r="AI29" s="3" t="n"/>
    </row>
    <row r="30">
      <c r="A30" t="n">
        <v>29</v>
      </c>
      <c r="D30" t="n">
        <v>29</v>
      </c>
      <c r="E30" s="3" t="n"/>
      <c r="G30" t="n">
        <v>29</v>
      </c>
      <c r="H30" s="3" t="n"/>
      <c r="J30" t="n">
        <v>29</v>
      </c>
      <c r="K30" s="3" t="n"/>
      <c r="M30" t="n">
        <v>29</v>
      </c>
      <c r="N30" s="3" t="n"/>
      <c r="P30" t="n">
        <v>29</v>
      </c>
      <c r="Q30" s="3" t="n"/>
      <c r="S30" t="n">
        <v>29</v>
      </c>
      <c r="T30" s="3" t="n"/>
      <c r="V30" t="n">
        <v>29</v>
      </c>
      <c r="W30" s="3" t="n"/>
      <c r="Y30" t="n">
        <v>29</v>
      </c>
      <c r="Z30" s="3" t="n"/>
      <c r="AB30" t="n">
        <v>29</v>
      </c>
      <c r="AC30" s="3" t="n"/>
      <c r="AE30" t="n">
        <v>29</v>
      </c>
      <c r="AF30" s="3" t="n"/>
      <c r="AH30" t="n">
        <v>29</v>
      </c>
      <c r="AI30" s="3" t="n"/>
    </row>
    <row r="31">
      <c r="A31" t="n">
        <v>30</v>
      </c>
      <c r="B31" s="3" t="n">
        <v>-450</v>
      </c>
      <c r="D31" t="n">
        <v>30</v>
      </c>
      <c r="E31" s="3" t="n"/>
      <c r="G31" t="n">
        <v>30</v>
      </c>
      <c r="H31" s="3" t="n">
        <v>2365</v>
      </c>
      <c r="J31" t="n">
        <v>30</v>
      </c>
      <c r="K31" s="3" t="n"/>
      <c r="M31" t="n">
        <v>30</v>
      </c>
      <c r="N31" s="3" t="n"/>
      <c r="P31" t="n">
        <v>30</v>
      </c>
      <c r="S31" t="n">
        <v>30</v>
      </c>
      <c r="V31" t="n">
        <v>30</v>
      </c>
      <c r="Y31" t="n">
        <v>30</v>
      </c>
      <c r="AB31" t="n">
        <v>30</v>
      </c>
      <c r="AC31" s="3" t="n"/>
      <c r="AE31" t="n">
        <v>30</v>
      </c>
      <c r="AF31" s="3" t="n"/>
      <c r="AH31" t="n">
        <v>30</v>
      </c>
      <c r="AI31" s="3" t="n"/>
    </row>
    <row r="32">
      <c r="A32" t="n">
        <v>31</v>
      </c>
      <c r="D32" t="n">
        <v>31</v>
      </c>
      <c r="E32" s="3" t="n"/>
      <c r="G32" t="n">
        <v>31</v>
      </c>
      <c r="H32" s="3" t="n">
        <v>30</v>
      </c>
      <c r="J32" t="n">
        <v>31</v>
      </c>
      <c r="K32" s="3" t="n"/>
      <c r="M32" t="n">
        <v>31</v>
      </c>
      <c r="N32" s="3" t="n"/>
      <c r="P32" t="n">
        <v>31</v>
      </c>
      <c r="S32" t="n">
        <v>31</v>
      </c>
      <c r="V32" t="n">
        <v>31</v>
      </c>
      <c r="Y32" t="n">
        <v>31</v>
      </c>
      <c r="AB32" t="n">
        <v>31</v>
      </c>
      <c r="AC32" s="3" t="n"/>
      <c r="AE32" t="n">
        <v>31</v>
      </c>
      <c r="AF32" s="3" t="n"/>
      <c r="AH32" t="n">
        <v>31</v>
      </c>
      <c r="AI32" s="3" t="n"/>
    </row>
    <row r="33">
      <c r="E33" s="3" t="n"/>
      <c r="H33" s="3" t="n"/>
    </row>
    <row r="34">
      <c r="E34" s="3" t="n"/>
      <c r="H34" s="3" t="n"/>
    </row>
    <row r="35">
      <c r="A35" t="inlineStr">
        <is>
          <t>Total</t>
        </is>
      </c>
      <c r="B35" s="3">
        <f>SUM(B2:B34)</f>
        <v/>
      </c>
      <c r="E35" s="3">
        <f>SUM(E2:E27)</f>
        <v/>
      </c>
      <c r="H35" s="3">
        <f>SUM(H2:H34)</f>
        <v/>
      </c>
      <c r="K35" s="3">
        <f>SUM(K2:K34)</f>
        <v/>
      </c>
      <c r="N35" s="3">
        <f>SUM(N2:N34)</f>
        <v/>
      </c>
      <c r="Q35" s="3">
        <f>SUM(Q2:Q34)</f>
        <v/>
      </c>
      <c r="T35" s="3">
        <f>SUM(T2:T34)</f>
        <v/>
      </c>
      <c r="W35" s="3">
        <f>SUM(W2:W34)</f>
        <v/>
      </c>
      <c r="Z35" s="3">
        <f>SUM(Z2:Z34)</f>
        <v/>
      </c>
      <c r="AC35" s="3">
        <f>SUM(AC2:AC34)</f>
        <v/>
      </c>
      <c r="AF35" s="3">
        <f>SUM(AF2:AF34)</f>
        <v/>
      </c>
      <c r="AI35" s="3">
        <f>SUM(AI2:AI34)</f>
        <v/>
      </c>
    </row>
  </sheetData>
  <mergeCells count="3">
    <mergeCell ref="D1:E1"/>
    <mergeCell ref="G1:H1"/>
    <mergeCell ref="A1:B1"/>
  </mergeCells>
  <conditionalFormatting sqref="B2:B32">
    <cfRule type="cellIs" priority="43" operator="lessThan" dxfId="1">
      <formula>0</formula>
    </cfRule>
    <cfRule type="cellIs" priority="44" operator="greaterThan" dxfId="0">
      <formula>0</formula>
    </cfRule>
  </conditionalFormatting>
  <conditionalFormatting sqref="B35">
    <cfRule type="cellIs" priority="42" operator="greaterThan" dxfId="0">
      <formula>0</formula>
    </cfRule>
    <cfRule type="cellIs" priority="41" operator="lessThan" dxfId="1">
      <formula>0</formula>
    </cfRule>
  </conditionalFormatting>
  <conditionalFormatting sqref="E2:E35">
    <cfRule type="cellIs" priority="39" operator="lessThan" dxfId="1">
      <formula>0</formula>
    </cfRule>
    <cfRule type="cellIs" priority="40" operator="greaterThan" dxfId="0">
      <formula>0</formula>
    </cfRule>
  </conditionalFormatting>
  <conditionalFormatting sqref="H2:H35">
    <cfRule type="cellIs" priority="34" operator="greaterThan" dxfId="0">
      <formula>0</formula>
    </cfRule>
    <cfRule type="cellIs" priority="33" operator="lessThan" dxfId="1">
      <formula>0</formula>
    </cfRule>
  </conditionalFormatting>
  <conditionalFormatting sqref="K2:K32">
    <cfRule type="cellIs" priority="38" operator="greaterThan" dxfId="0">
      <formula>0</formula>
    </cfRule>
    <cfRule type="cellIs" priority="37" operator="lessThan" dxfId="1">
      <formula>0</formula>
    </cfRule>
  </conditionalFormatting>
  <conditionalFormatting sqref="K35">
    <cfRule type="cellIs" priority="36" operator="greaterThan" dxfId="0">
      <formula>0</formula>
    </cfRule>
    <cfRule type="cellIs" priority="35" operator="lessThan" dxfId="1">
      <formula>0</formula>
    </cfRule>
  </conditionalFormatting>
  <conditionalFormatting sqref="N2:N32">
    <cfRule type="cellIs" priority="32" operator="greaterThan" dxfId="0">
      <formula>0</formula>
    </cfRule>
    <cfRule type="cellIs" priority="31" operator="lessThan" dxfId="1">
      <formula>0</formula>
    </cfRule>
  </conditionalFormatting>
  <conditionalFormatting sqref="N35">
    <cfRule type="cellIs" priority="30" operator="greaterThan" dxfId="0">
      <formula>0</formula>
    </cfRule>
    <cfRule type="cellIs" priority="29" operator="lessThan" dxfId="1">
      <formula>0</formula>
    </cfRule>
  </conditionalFormatting>
  <conditionalFormatting sqref="Q2:Q30">
    <cfRule type="cellIs" priority="28" operator="greaterThan" dxfId="0">
      <formula>0</formula>
    </cfRule>
    <cfRule type="cellIs" priority="27" operator="lessThan" dxfId="1">
      <formula>0</formula>
    </cfRule>
  </conditionalFormatting>
  <conditionalFormatting sqref="Q35">
    <cfRule type="cellIs" priority="26" operator="greaterThan" dxfId="0">
      <formula>0</formula>
    </cfRule>
    <cfRule type="cellIs" priority="25" operator="lessThan" dxfId="1">
      <formula>0</formula>
    </cfRule>
  </conditionalFormatting>
  <conditionalFormatting sqref="T2:T30">
    <cfRule type="cellIs" priority="23" operator="lessThan" dxfId="1">
      <formula>0</formula>
    </cfRule>
    <cfRule type="cellIs" priority="24" operator="greaterThan" dxfId="0">
      <formula>0</formula>
    </cfRule>
  </conditionalFormatting>
  <conditionalFormatting sqref="T35">
    <cfRule type="cellIs" priority="22" operator="greaterThan" dxfId="0">
      <formula>0</formula>
    </cfRule>
    <cfRule type="cellIs" priority="21" operator="lessThan" dxfId="1">
      <formula>0</formula>
    </cfRule>
  </conditionalFormatting>
  <conditionalFormatting sqref="W2:W30">
    <cfRule type="cellIs" priority="20" operator="greaterThan" dxfId="0">
      <formula>0</formula>
    </cfRule>
    <cfRule type="cellIs" priority="19" operator="lessThan" dxfId="1">
      <formula>0</formula>
    </cfRule>
  </conditionalFormatting>
  <conditionalFormatting sqref="W35">
    <cfRule type="cellIs" priority="18" operator="greaterThan" dxfId="0">
      <formula>0</formula>
    </cfRule>
    <cfRule type="cellIs" priority="17" operator="lessThan" dxfId="1">
      <formula>0</formula>
    </cfRule>
  </conditionalFormatting>
  <conditionalFormatting sqref="Z2:Z30">
    <cfRule type="cellIs" priority="16" operator="greaterThan" dxfId="0">
      <formula>0</formula>
    </cfRule>
    <cfRule type="cellIs" priority="15" operator="lessThan" dxfId="1">
      <formula>0</formula>
    </cfRule>
  </conditionalFormatting>
  <conditionalFormatting sqref="Z35">
    <cfRule type="cellIs" priority="14" operator="greaterThan" dxfId="0">
      <formula>0</formula>
    </cfRule>
    <cfRule type="cellIs" priority="13" operator="lessThan" dxfId="1">
      <formula>0</formula>
    </cfRule>
  </conditionalFormatting>
  <conditionalFormatting sqref="AC2:AC32">
    <cfRule type="cellIs" priority="11" operator="lessThan" dxfId="1">
      <formula>0</formula>
    </cfRule>
    <cfRule type="cellIs" priority="12" operator="greaterThan" dxfId="0">
      <formula>0</formula>
    </cfRule>
  </conditionalFormatting>
  <conditionalFormatting sqref="AC35">
    <cfRule type="cellIs" priority="10" operator="greaterThan" dxfId="0">
      <formula>0</formula>
    </cfRule>
    <cfRule type="cellIs" priority="9" operator="lessThan" dxfId="1">
      <formula>0</formula>
    </cfRule>
  </conditionalFormatting>
  <conditionalFormatting sqref="AF2:AF32">
    <cfRule type="cellIs" priority="8" operator="greaterThan" dxfId="0">
      <formula>0</formula>
    </cfRule>
    <cfRule type="cellIs" priority="7" operator="lessThan" dxfId="1">
      <formula>0</formula>
    </cfRule>
  </conditionalFormatting>
  <conditionalFormatting sqref="AF35">
    <cfRule type="cellIs" priority="6" operator="greaterThan" dxfId="0">
      <formula>0</formula>
    </cfRule>
    <cfRule type="cellIs" priority="5" operator="lessThan" dxfId="1">
      <formula>0</formula>
    </cfRule>
  </conditionalFormatting>
  <conditionalFormatting sqref="AI2:AI32">
    <cfRule type="cellIs" priority="4" operator="greaterThan" dxfId="0">
      <formula>0</formula>
    </cfRule>
    <cfRule type="cellIs" priority="3" operator="lessThan" dxfId="1">
      <formula>0</formula>
    </cfRule>
  </conditionalFormatting>
  <conditionalFormatting sqref="AI35">
    <cfRule type="cellIs" priority="2" operator="greaterThan" dxfId="0">
      <formula>0</formula>
    </cfRule>
    <cfRule type="cellIs" priority="1" operator="lessThan" dxfId="1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7">
    <outlinePr summaryBelow="1" summaryRight="1"/>
    <pageSetUpPr/>
  </sheetPr>
  <dimension ref="A1:AI35"/>
  <sheetViews>
    <sheetView workbookViewId="0">
      <selection activeCell="B35" sqref="B35:K35"/>
    </sheetView>
  </sheetViews>
  <sheetFormatPr baseColWidth="8" defaultRowHeight="15"/>
  <cols>
    <col width="18.42578125" customWidth="1" min="1" max="1"/>
    <col width="15.42578125" customWidth="1" style="3" min="2" max="2"/>
    <col width="11.5703125" customWidth="1" min="4" max="4"/>
    <col width="12.5703125" customWidth="1" min="5" max="5"/>
    <col width="11.5703125" customWidth="1" min="7" max="7"/>
    <col width="12.5703125" customWidth="1" min="8" max="8"/>
    <col width="11.5703125" customWidth="1" min="10" max="10"/>
    <col width="10.140625" bestFit="1" customWidth="1" min="11" max="11"/>
    <col width="10.42578125" bestFit="1" customWidth="1" min="13" max="13"/>
    <col width="10.85546875" bestFit="1" customWidth="1" min="14" max="14"/>
    <col width="10.85546875" bestFit="1" customWidth="1" min="17" max="17"/>
    <col width="10.85546875" bestFit="1" customWidth="1" min="20" max="20"/>
    <col width="10.85546875" bestFit="1" customWidth="1" min="23" max="23"/>
    <col width="10.85546875" bestFit="1" customWidth="1" min="26" max="26"/>
    <col width="10.85546875" bestFit="1" customWidth="1" min="29" max="29"/>
    <col width="10.85546875" bestFit="1" customWidth="1" min="32" max="32"/>
    <col width="10.140625" bestFit="1" customWidth="1" min="35" max="35"/>
  </cols>
  <sheetData>
    <row r="1" customFormat="1" s="2">
      <c r="A1" s="9" t="inlineStr">
        <is>
          <t>January</t>
        </is>
      </c>
      <c r="D1" s="9" t="inlineStr">
        <is>
          <t>February</t>
        </is>
      </c>
      <c r="G1" s="9" t="inlineStr">
        <is>
          <t>March</t>
        </is>
      </c>
      <c r="J1" s="2" t="inlineStr">
        <is>
          <t>April</t>
        </is>
      </c>
      <c r="M1" s="2" t="inlineStr">
        <is>
          <t>May</t>
        </is>
      </c>
      <c r="P1" s="2" t="inlineStr">
        <is>
          <t>Jun</t>
        </is>
      </c>
      <c r="S1" s="2" t="inlineStr">
        <is>
          <t>Jul</t>
        </is>
      </c>
      <c r="V1" s="2" t="inlineStr">
        <is>
          <t>Aug</t>
        </is>
      </c>
      <c r="Y1" s="2" t="inlineStr">
        <is>
          <t>Sep</t>
        </is>
      </c>
      <c r="AB1" s="2" t="inlineStr">
        <is>
          <t>Oct</t>
        </is>
      </c>
      <c r="AE1" s="2" t="inlineStr">
        <is>
          <t>Nov</t>
        </is>
      </c>
      <c r="AH1" s="2" t="inlineStr">
        <is>
          <t>Dec</t>
        </is>
      </c>
    </row>
    <row r="2">
      <c r="A2" t="n">
        <v>1</v>
      </c>
      <c r="D2" t="n">
        <v>1</v>
      </c>
      <c r="E2" s="3" t="n"/>
      <c r="G2" t="n">
        <v>1</v>
      </c>
      <c r="H2" s="3" t="n"/>
      <c r="J2" t="n">
        <v>1</v>
      </c>
      <c r="K2" s="3" t="n"/>
      <c r="M2" t="n">
        <v>1</v>
      </c>
      <c r="N2" s="3" t="n"/>
      <c r="P2" t="n">
        <v>1</v>
      </c>
      <c r="Q2" s="3" t="n"/>
      <c r="S2" t="n">
        <v>1</v>
      </c>
      <c r="T2" s="3" t="n"/>
      <c r="V2" t="n">
        <v>1</v>
      </c>
      <c r="W2" s="3" t="n"/>
      <c r="Y2" t="n">
        <v>1</v>
      </c>
      <c r="Z2" s="3" t="n"/>
      <c r="AB2" t="n">
        <v>1</v>
      </c>
      <c r="AC2" s="3" t="n"/>
      <c r="AE2" t="n">
        <v>1</v>
      </c>
      <c r="AF2" s="3" t="n"/>
      <c r="AH2" t="n">
        <v>1</v>
      </c>
      <c r="AI2" s="3" t="n"/>
    </row>
    <row r="3">
      <c r="A3" t="n">
        <v>2</v>
      </c>
      <c r="D3" t="n">
        <v>2</v>
      </c>
      <c r="E3" s="3" t="n"/>
      <c r="G3" t="n">
        <v>2</v>
      </c>
      <c r="H3" s="3" t="n">
        <v>735</v>
      </c>
      <c r="J3" t="n">
        <v>2</v>
      </c>
      <c r="K3" s="3" t="n"/>
      <c r="M3" t="n">
        <v>2</v>
      </c>
      <c r="N3" s="3" t="n"/>
      <c r="P3" t="n">
        <v>2</v>
      </c>
      <c r="Q3" s="3" t="n"/>
      <c r="S3" t="n">
        <v>2</v>
      </c>
      <c r="T3" s="3" t="n"/>
      <c r="V3" t="n">
        <v>2</v>
      </c>
      <c r="W3" s="3" t="n"/>
      <c r="Y3" t="n">
        <v>2</v>
      </c>
      <c r="Z3" s="3" t="n"/>
      <c r="AB3" t="n">
        <v>2</v>
      </c>
      <c r="AC3" s="3" t="n"/>
      <c r="AE3" t="n">
        <v>2</v>
      </c>
      <c r="AF3" s="3" t="n"/>
      <c r="AH3" t="n">
        <v>2</v>
      </c>
      <c r="AI3" s="3" t="n"/>
    </row>
    <row r="4">
      <c r="A4" t="n">
        <v>3</v>
      </c>
      <c r="D4" t="n">
        <v>3</v>
      </c>
      <c r="E4" s="3" t="n"/>
      <c r="G4" t="n">
        <v>3</v>
      </c>
      <c r="H4" s="3">
        <f>-200-450</f>
        <v/>
      </c>
      <c r="J4" t="n">
        <v>3</v>
      </c>
      <c r="K4" s="3" t="n"/>
      <c r="M4" t="n">
        <v>3</v>
      </c>
      <c r="N4" s="3" t="n"/>
      <c r="P4" t="n">
        <v>3</v>
      </c>
      <c r="Q4" s="3" t="n"/>
      <c r="S4" t="n">
        <v>3</v>
      </c>
      <c r="T4" s="3" t="n"/>
      <c r="V4" t="n">
        <v>3</v>
      </c>
      <c r="W4" s="3" t="n"/>
      <c r="Y4" t="n">
        <v>3</v>
      </c>
      <c r="Z4" s="3" t="n"/>
      <c r="AB4" t="n">
        <v>3</v>
      </c>
      <c r="AC4" s="3" t="n"/>
      <c r="AE4" t="n">
        <v>3</v>
      </c>
      <c r="AF4" s="3" t="n"/>
      <c r="AH4" t="n">
        <v>3</v>
      </c>
      <c r="AI4" s="3" t="n"/>
    </row>
    <row r="5">
      <c r="A5" t="n">
        <v>4</v>
      </c>
      <c r="D5" t="n">
        <v>4</v>
      </c>
      <c r="E5" s="3" t="n"/>
      <c r="G5" t="n">
        <v>4</v>
      </c>
      <c r="H5" s="3" t="n">
        <v>-630</v>
      </c>
      <c r="J5" t="n">
        <v>4</v>
      </c>
      <c r="K5" s="3" t="n"/>
      <c r="M5" t="n">
        <v>4</v>
      </c>
      <c r="N5" s="3" t="n"/>
      <c r="P5" t="n">
        <v>4</v>
      </c>
      <c r="Q5" s="3" t="n"/>
      <c r="S5" t="n">
        <v>4</v>
      </c>
      <c r="T5" s="3" t="n"/>
      <c r="V5" t="n">
        <v>4</v>
      </c>
      <c r="W5" s="3" t="n"/>
      <c r="Y5" t="n">
        <v>4</v>
      </c>
      <c r="Z5" s="3" t="n"/>
      <c r="AB5" t="n">
        <v>4</v>
      </c>
      <c r="AC5" s="3" t="n"/>
      <c r="AE5" t="n">
        <v>4</v>
      </c>
      <c r="AF5" s="3" t="n"/>
      <c r="AH5" t="n">
        <v>4</v>
      </c>
      <c r="AI5" s="3" t="n"/>
    </row>
    <row r="6">
      <c r="A6" t="n">
        <v>5</v>
      </c>
      <c r="D6" t="n">
        <v>5</v>
      </c>
      <c r="E6" s="3" t="n"/>
      <c r="G6" t="n">
        <v>5</v>
      </c>
      <c r="H6" s="3" t="n">
        <v>-70</v>
      </c>
      <c r="J6" t="n">
        <v>5</v>
      </c>
      <c r="K6" s="3" t="n"/>
      <c r="M6" t="n">
        <v>5</v>
      </c>
      <c r="N6" s="3" t="n"/>
      <c r="P6" t="n">
        <v>5</v>
      </c>
      <c r="Q6" s="3" t="n"/>
      <c r="S6" t="n">
        <v>5</v>
      </c>
      <c r="T6" s="3" t="n"/>
      <c r="V6" t="n">
        <v>5</v>
      </c>
      <c r="W6" s="3" t="n"/>
      <c r="Y6" t="n">
        <v>5</v>
      </c>
      <c r="Z6" s="3" t="n"/>
      <c r="AB6" t="n">
        <v>5</v>
      </c>
      <c r="AC6" s="3" t="n"/>
      <c r="AE6" t="n">
        <v>5</v>
      </c>
      <c r="AF6" s="3" t="n"/>
      <c r="AH6" t="n">
        <v>5</v>
      </c>
      <c r="AI6" s="3" t="n"/>
    </row>
    <row r="7">
      <c r="A7" t="n">
        <v>6</v>
      </c>
      <c r="D7" t="n">
        <v>6</v>
      </c>
      <c r="E7" s="3" t="n"/>
      <c r="G7" t="n">
        <v>6</v>
      </c>
      <c r="H7" s="3" t="n"/>
      <c r="J7" t="n">
        <v>6</v>
      </c>
      <c r="K7" s="3" t="n"/>
      <c r="M7" t="n">
        <v>6</v>
      </c>
      <c r="N7" s="3" t="n"/>
      <c r="P7" t="n">
        <v>6</v>
      </c>
      <c r="Q7" s="3" t="n"/>
      <c r="S7" t="n">
        <v>6</v>
      </c>
      <c r="T7" s="3" t="n"/>
      <c r="V7" t="n">
        <v>6</v>
      </c>
      <c r="W7" s="3" t="n"/>
      <c r="Y7" t="n">
        <v>6</v>
      </c>
      <c r="Z7" s="3" t="n"/>
      <c r="AB7" t="n">
        <v>6</v>
      </c>
      <c r="AC7" s="3" t="n"/>
      <c r="AE7" t="n">
        <v>6</v>
      </c>
      <c r="AF7" s="3" t="n"/>
      <c r="AH7" t="n">
        <v>6</v>
      </c>
      <c r="AI7" s="3" t="n"/>
    </row>
    <row r="8">
      <c r="A8" t="n">
        <v>7</v>
      </c>
      <c r="D8" t="n">
        <v>7</v>
      </c>
      <c r="E8" s="3" t="n"/>
      <c r="G8" t="n">
        <v>7</v>
      </c>
      <c r="H8" s="3" t="n"/>
      <c r="J8" t="n">
        <v>7</v>
      </c>
      <c r="K8" s="3" t="n"/>
      <c r="M8" t="n">
        <v>7</v>
      </c>
      <c r="N8" s="3" t="n"/>
      <c r="P8" t="n">
        <v>7</v>
      </c>
      <c r="Q8" s="3" t="n"/>
      <c r="S8" t="n">
        <v>7</v>
      </c>
      <c r="T8" s="3" t="n"/>
      <c r="V8" t="n">
        <v>7</v>
      </c>
      <c r="W8" s="3" t="n"/>
      <c r="Y8" t="n">
        <v>7</v>
      </c>
      <c r="Z8" s="3" t="n"/>
      <c r="AB8" t="n">
        <v>7</v>
      </c>
      <c r="AC8" s="3" t="n"/>
      <c r="AE8" t="n">
        <v>7</v>
      </c>
      <c r="AF8" s="3" t="n"/>
      <c r="AH8" t="n">
        <v>7</v>
      </c>
      <c r="AI8" s="3" t="n"/>
    </row>
    <row r="9">
      <c r="A9" t="n">
        <v>8</v>
      </c>
      <c r="D9" t="n">
        <v>8</v>
      </c>
      <c r="E9" s="3" t="n"/>
      <c r="G9" t="n">
        <v>8</v>
      </c>
      <c r="H9" s="3" t="n"/>
      <c r="J9" t="n">
        <v>8</v>
      </c>
      <c r="K9" s="3" t="n"/>
      <c r="M9" t="n">
        <v>8</v>
      </c>
      <c r="N9" s="3" t="n"/>
      <c r="P9" t="n">
        <v>8</v>
      </c>
      <c r="Q9" s="3" t="n"/>
      <c r="S9" t="n">
        <v>8</v>
      </c>
      <c r="T9" s="3" t="n"/>
      <c r="V9" t="n">
        <v>8</v>
      </c>
      <c r="W9" s="3" t="n"/>
      <c r="Y9" t="n">
        <v>8</v>
      </c>
      <c r="Z9" s="3" t="n"/>
      <c r="AB9" t="n">
        <v>8</v>
      </c>
      <c r="AC9" s="3" t="n"/>
      <c r="AE9" t="n">
        <v>8</v>
      </c>
      <c r="AF9" s="3" t="n"/>
      <c r="AH9" t="n">
        <v>8</v>
      </c>
      <c r="AI9" s="3" t="n"/>
    </row>
    <row r="10">
      <c r="A10" t="n">
        <v>9</v>
      </c>
      <c r="D10" t="n">
        <v>9</v>
      </c>
      <c r="E10" s="3" t="n"/>
      <c r="G10" t="n">
        <v>9</v>
      </c>
      <c r="H10" s="3">
        <f>-1250-1480</f>
        <v/>
      </c>
      <c r="J10" t="n">
        <v>9</v>
      </c>
      <c r="K10" s="3" t="n"/>
      <c r="M10" t="n">
        <v>9</v>
      </c>
      <c r="N10" s="3" t="n"/>
      <c r="P10" t="n">
        <v>9</v>
      </c>
      <c r="Q10" s="3" t="n"/>
      <c r="S10" t="n">
        <v>9</v>
      </c>
      <c r="T10" s="3" t="n"/>
      <c r="V10" t="n">
        <v>9</v>
      </c>
      <c r="W10" s="3" t="n"/>
      <c r="Y10" t="n">
        <v>9</v>
      </c>
      <c r="Z10" s="3" t="n"/>
      <c r="AB10" t="n">
        <v>9</v>
      </c>
      <c r="AC10" s="3" t="n"/>
      <c r="AE10" t="n">
        <v>9</v>
      </c>
      <c r="AF10" s="3" t="n"/>
      <c r="AH10" t="n">
        <v>9</v>
      </c>
      <c r="AI10" s="3" t="n"/>
    </row>
    <row r="11">
      <c r="A11" t="n">
        <v>10</v>
      </c>
      <c r="D11" t="n">
        <v>10</v>
      </c>
      <c r="E11" s="3" t="n"/>
      <c r="G11" t="n">
        <v>10</v>
      </c>
      <c r="H11" s="3" t="n"/>
      <c r="J11" t="n">
        <v>10</v>
      </c>
      <c r="K11" s="3" t="n"/>
      <c r="M11" t="n">
        <v>10</v>
      </c>
      <c r="N11" s="3" t="n"/>
      <c r="P11" t="n">
        <v>10</v>
      </c>
      <c r="Q11" s="3" t="n"/>
      <c r="S11" t="n">
        <v>10</v>
      </c>
      <c r="T11" s="3" t="n"/>
      <c r="V11" t="n">
        <v>10</v>
      </c>
      <c r="W11" s="3" t="n"/>
      <c r="Y11" t="n">
        <v>10</v>
      </c>
      <c r="Z11" s="3" t="n"/>
      <c r="AB11" t="n">
        <v>10</v>
      </c>
      <c r="AC11" s="3" t="n"/>
      <c r="AE11" t="n">
        <v>10</v>
      </c>
      <c r="AF11" s="3" t="n"/>
      <c r="AH11" t="n">
        <v>10</v>
      </c>
      <c r="AI11" s="3" t="n"/>
    </row>
    <row r="12">
      <c r="A12" t="n">
        <v>11</v>
      </c>
      <c r="D12" t="n">
        <v>11</v>
      </c>
      <c r="E12" s="3" t="n">
        <v>-710</v>
      </c>
      <c r="G12" t="n">
        <v>11</v>
      </c>
      <c r="H12" s="3" t="n"/>
      <c r="J12" t="n">
        <v>11</v>
      </c>
      <c r="K12" s="3" t="n"/>
      <c r="M12" t="n">
        <v>11</v>
      </c>
      <c r="N12" s="3" t="n"/>
      <c r="P12" t="n">
        <v>11</v>
      </c>
      <c r="Q12" s="3" t="n"/>
      <c r="S12" t="n">
        <v>11</v>
      </c>
      <c r="T12" s="3" t="n"/>
      <c r="V12" t="n">
        <v>11</v>
      </c>
      <c r="W12" s="3" t="n"/>
      <c r="Y12" t="n">
        <v>11</v>
      </c>
      <c r="Z12" s="3" t="n"/>
      <c r="AB12" t="n">
        <v>11</v>
      </c>
      <c r="AC12" s="3" t="n"/>
      <c r="AE12" t="n">
        <v>11</v>
      </c>
      <c r="AF12" s="3" t="n"/>
      <c r="AH12" t="n">
        <v>11</v>
      </c>
      <c r="AI12" s="3" t="n"/>
    </row>
    <row r="13">
      <c r="A13" t="n">
        <v>12</v>
      </c>
      <c r="D13" t="n">
        <v>12</v>
      </c>
      <c r="E13" s="3" t="n">
        <v>130</v>
      </c>
      <c r="G13" t="n">
        <v>12</v>
      </c>
      <c r="H13" s="3">
        <f>-85-650</f>
        <v/>
      </c>
      <c r="J13" t="n">
        <v>12</v>
      </c>
      <c r="K13" s="3" t="n"/>
      <c r="M13" t="n">
        <v>12</v>
      </c>
      <c r="N13" s="3" t="n"/>
      <c r="P13" t="n">
        <v>12</v>
      </c>
      <c r="Q13" s="3" t="n"/>
      <c r="S13" t="n">
        <v>12</v>
      </c>
      <c r="T13" s="3" t="n"/>
      <c r="V13" t="n">
        <v>12</v>
      </c>
      <c r="W13" s="3" t="n"/>
      <c r="Y13" t="n">
        <v>12</v>
      </c>
      <c r="Z13" s="3" t="n"/>
      <c r="AB13" t="n">
        <v>12</v>
      </c>
      <c r="AC13" s="3" t="n"/>
      <c r="AE13" t="n">
        <v>12</v>
      </c>
      <c r="AF13" s="3" t="n"/>
      <c r="AH13" t="n">
        <v>12</v>
      </c>
      <c r="AI13" s="3" t="n"/>
    </row>
    <row r="14">
      <c r="A14" t="n">
        <v>13</v>
      </c>
      <c r="D14" t="n">
        <v>13</v>
      </c>
      <c r="E14" s="3" t="n"/>
      <c r="G14" t="n">
        <v>13</v>
      </c>
      <c r="H14" s="3" t="n">
        <v>-50</v>
      </c>
      <c r="J14" t="n">
        <v>13</v>
      </c>
      <c r="K14" s="3" t="n"/>
      <c r="M14" t="n">
        <v>13</v>
      </c>
      <c r="N14" s="3" t="n"/>
      <c r="P14" t="n">
        <v>13</v>
      </c>
      <c r="Q14" s="3" t="n"/>
      <c r="S14" t="n">
        <v>13</v>
      </c>
      <c r="T14" s="3" t="n"/>
      <c r="V14" t="n">
        <v>13</v>
      </c>
      <c r="W14" s="3" t="n"/>
      <c r="Y14" t="n">
        <v>13</v>
      </c>
      <c r="Z14" s="3" t="n"/>
      <c r="AB14" t="n">
        <v>13</v>
      </c>
      <c r="AC14" s="3" t="n"/>
      <c r="AE14" t="n">
        <v>13</v>
      </c>
      <c r="AF14" s="3" t="n"/>
      <c r="AH14" t="n">
        <v>13</v>
      </c>
      <c r="AI14" s="3" t="n"/>
    </row>
    <row r="15">
      <c r="A15" t="n">
        <v>14</v>
      </c>
      <c r="D15" t="n">
        <v>14</v>
      </c>
      <c r="E15" s="3" t="n"/>
      <c r="G15" t="n">
        <v>14</v>
      </c>
      <c r="H15" s="3" t="n"/>
      <c r="J15" t="n">
        <v>14</v>
      </c>
      <c r="K15" s="3" t="n"/>
      <c r="M15" t="n">
        <v>14</v>
      </c>
      <c r="N15" s="3" t="n"/>
      <c r="P15" t="n">
        <v>14</v>
      </c>
      <c r="Q15" s="3" t="n"/>
      <c r="S15" t="n">
        <v>14</v>
      </c>
      <c r="T15" s="3" t="n"/>
      <c r="V15" t="n">
        <v>14</v>
      </c>
      <c r="W15" s="3" t="n"/>
      <c r="Y15" t="n">
        <v>14</v>
      </c>
      <c r="Z15" s="3" t="n"/>
      <c r="AB15" t="n">
        <v>14</v>
      </c>
      <c r="AC15" s="3" t="n"/>
      <c r="AE15" t="n">
        <v>14</v>
      </c>
      <c r="AF15" s="3" t="n"/>
      <c r="AH15" t="n">
        <v>14</v>
      </c>
      <c r="AI15" s="3" t="n"/>
    </row>
    <row r="16">
      <c r="A16" t="n">
        <v>15</v>
      </c>
      <c r="B16" s="3" t="n">
        <v>80</v>
      </c>
      <c r="D16" t="n">
        <v>15</v>
      </c>
      <c r="E16" s="3" t="n"/>
      <c r="G16" t="n">
        <v>15</v>
      </c>
      <c r="H16" s="3" t="n"/>
      <c r="J16" t="n">
        <v>15</v>
      </c>
      <c r="K16" s="3" t="n"/>
      <c r="M16" t="n">
        <v>15</v>
      </c>
      <c r="N16" s="3" t="n"/>
      <c r="P16" t="n">
        <v>15</v>
      </c>
      <c r="Q16" s="3" t="n"/>
      <c r="S16" t="n">
        <v>15</v>
      </c>
      <c r="T16" s="3" t="n"/>
      <c r="V16" t="n">
        <v>15</v>
      </c>
      <c r="W16" s="3" t="n"/>
      <c r="Y16" t="n">
        <v>15</v>
      </c>
      <c r="Z16" s="3" t="n"/>
      <c r="AB16" t="n">
        <v>15</v>
      </c>
      <c r="AC16" s="3" t="n"/>
      <c r="AE16" t="n">
        <v>15</v>
      </c>
      <c r="AF16" s="3" t="n"/>
      <c r="AH16" t="n">
        <v>15</v>
      </c>
      <c r="AI16" s="3" t="n"/>
    </row>
    <row r="17">
      <c r="A17" t="n">
        <v>16</v>
      </c>
      <c r="B17" s="3" t="n">
        <v>-40</v>
      </c>
      <c r="D17" t="n">
        <v>16</v>
      </c>
      <c r="E17" s="3" t="n"/>
      <c r="G17" t="n">
        <v>16</v>
      </c>
      <c r="H17" s="3">
        <f>2642+3845</f>
        <v/>
      </c>
      <c r="J17" t="n">
        <v>16</v>
      </c>
      <c r="K17" s="3" t="n"/>
      <c r="M17" t="n">
        <v>16</v>
      </c>
      <c r="N17" s="3" t="n"/>
      <c r="P17" t="n">
        <v>16</v>
      </c>
      <c r="Q17" s="3" t="n"/>
      <c r="S17" t="n">
        <v>16</v>
      </c>
      <c r="T17" s="3" t="n"/>
      <c r="V17" t="n">
        <v>16</v>
      </c>
      <c r="W17" s="3" t="n"/>
      <c r="Y17" t="n">
        <v>16</v>
      </c>
      <c r="Z17" s="3" t="n"/>
      <c r="AB17" t="n">
        <v>16</v>
      </c>
      <c r="AC17" s="3" t="n"/>
      <c r="AE17" t="n">
        <v>16</v>
      </c>
      <c r="AF17" s="3" t="n"/>
      <c r="AH17" t="n">
        <v>16</v>
      </c>
      <c r="AI17" s="3" t="n"/>
    </row>
    <row r="18">
      <c r="A18" t="n">
        <v>17</v>
      </c>
      <c r="D18" t="n">
        <v>17</v>
      </c>
      <c r="E18" s="3" t="n"/>
      <c r="G18" t="n">
        <v>17</v>
      </c>
      <c r="H18" s="3">
        <f>3070+1065</f>
        <v/>
      </c>
      <c r="J18" t="n">
        <v>17</v>
      </c>
      <c r="K18" s="3" t="n"/>
      <c r="M18" t="n">
        <v>17</v>
      </c>
      <c r="N18" s="3" t="n"/>
      <c r="P18" t="n">
        <v>17</v>
      </c>
      <c r="Q18" s="3" t="n"/>
      <c r="S18" t="n">
        <v>17</v>
      </c>
      <c r="T18" s="3" t="n"/>
      <c r="V18" t="n">
        <v>17</v>
      </c>
      <c r="W18" s="3" t="n"/>
      <c r="Y18" t="n">
        <v>17</v>
      </c>
      <c r="Z18" s="3" t="n"/>
      <c r="AB18" t="n">
        <v>17</v>
      </c>
      <c r="AC18" s="3" t="n"/>
      <c r="AE18" t="n">
        <v>17</v>
      </c>
      <c r="AF18" s="3" t="n"/>
      <c r="AH18" t="n">
        <v>17</v>
      </c>
      <c r="AI18" s="3" t="n"/>
    </row>
    <row r="19">
      <c r="A19" t="n">
        <v>18</v>
      </c>
      <c r="D19" t="n">
        <v>18</v>
      </c>
      <c r="E19" s="3" t="n">
        <v>210</v>
      </c>
      <c r="G19" t="n">
        <v>18</v>
      </c>
      <c r="H19" s="3" t="n"/>
      <c r="J19" t="n">
        <v>18</v>
      </c>
      <c r="K19" s="3" t="n"/>
      <c r="M19" t="n">
        <v>18</v>
      </c>
      <c r="N19" s="3" t="n"/>
      <c r="P19" t="n">
        <v>18</v>
      </c>
      <c r="Q19" s="3" t="n"/>
      <c r="S19" t="n">
        <v>18</v>
      </c>
      <c r="T19" s="3" t="n"/>
      <c r="V19" t="n">
        <v>18</v>
      </c>
      <c r="W19" s="3" t="n"/>
      <c r="Y19" t="n">
        <v>18</v>
      </c>
      <c r="Z19" s="3" t="n"/>
      <c r="AB19" t="n">
        <v>18</v>
      </c>
      <c r="AC19" s="3" t="n"/>
      <c r="AE19" t="n">
        <v>18</v>
      </c>
      <c r="AF19" s="3" t="n"/>
      <c r="AH19" t="n">
        <v>18</v>
      </c>
      <c r="AI19" s="3" t="n"/>
    </row>
    <row r="20">
      <c r="A20" t="n">
        <v>19</v>
      </c>
      <c r="D20" t="n">
        <v>19</v>
      </c>
      <c r="E20" s="3" t="n"/>
      <c r="G20" t="n">
        <v>19</v>
      </c>
      <c r="H20" s="3">
        <f>2498+2820</f>
        <v/>
      </c>
      <c r="J20" t="n">
        <v>19</v>
      </c>
      <c r="K20" s="3" t="n"/>
      <c r="M20" t="n">
        <v>19</v>
      </c>
      <c r="N20" s="3" t="n"/>
      <c r="P20" t="n">
        <v>19</v>
      </c>
      <c r="Q20" s="3" t="n"/>
      <c r="S20" t="n">
        <v>19</v>
      </c>
      <c r="T20" s="3" t="n"/>
      <c r="V20" t="n">
        <v>19</v>
      </c>
      <c r="W20" s="3" t="n"/>
      <c r="Y20" t="n">
        <v>19</v>
      </c>
      <c r="Z20" s="3" t="n"/>
      <c r="AB20" t="n">
        <v>19</v>
      </c>
      <c r="AC20" s="3" t="n"/>
      <c r="AE20" t="n">
        <v>19</v>
      </c>
      <c r="AF20" s="3" t="n"/>
      <c r="AH20" t="n">
        <v>19</v>
      </c>
      <c r="AI20" s="3" t="n"/>
    </row>
    <row r="21">
      <c r="A21" t="n">
        <v>20</v>
      </c>
      <c r="B21" s="3" t="n">
        <v>50</v>
      </c>
      <c r="D21" t="n">
        <v>20</v>
      </c>
      <c r="E21" s="3">
        <f>-120+1125</f>
        <v/>
      </c>
      <c r="G21" t="n">
        <v>20</v>
      </c>
      <c r="H21" s="3">
        <f>-1715-1465</f>
        <v/>
      </c>
      <c r="J21" t="n">
        <v>20</v>
      </c>
      <c r="K21" s="3" t="n"/>
      <c r="M21" t="n">
        <v>20</v>
      </c>
      <c r="N21" s="3" t="n"/>
      <c r="P21" t="n">
        <v>20</v>
      </c>
      <c r="Q21" s="3" t="n"/>
      <c r="S21" t="n">
        <v>20</v>
      </c>
      <c r="T21" s="3" t="n"/>
      <c r="V21" t="n">
        <v>20</v>
      </c>
      <c r="W21" s="3" t="n"/>
      <c r="Y21" t="n">
        <v>20</v>
      </c>
      <c r="Z21" s="3" t="n"/>
      <c r="AB21" t="n">
        <v>20</v>
      </c>
      <c r="AC21" s="3" t="n"/>
      <c r="AE21" t="n">
        <v>20</v>
      </c>
      <c r="AF21" s="3" t="n"/>
      <c r="AH21" t="n">
        <v>20</v>
      </c>
      <c r="AI21" s="3" t="n"/>
    </row>
    <row r="22">
      <c r="A22" t="n">
        <v>21</v>
      </c>
      <c r="B22" s="3" t="n">
        <v>-105</v>
      </c>
      <c r="D22" t="n">
        <v>21</v>
      </c>
      <c r="E22" s="3" t="n"/>
      <c r="G22" t="n">
        <v>21</v>
      </c>
      <c r="H22" s="3" t="n"/>
      <c r="J22" t="n">
        <v>21</v>
      </c>
      <c r="K22" s="3" t="n"/>
      <c r="M22" t="n">
        <v>21</v>
      </c>
      <c r="N22" s="3" t="n"/>
      <c r="P22" t="n">
        <v>21</v>
      </c>
      <c r="Q22" s="3" t="n"/>
      <c r="S22" t="n">
        <v>21</v>
      </c>
      <c r="T22" s="3" t="n"/>
      <c r="V22" t="n">
        <v>21</v>
      </c>
      <c r="W22" s="3" t="n"/>
      <c r="Y22" t="n">
        <v>21</v>
      </c>
      <c r="Z22" s="3" t="n"/>
      <c r="AB22" t="n">
        <v>21</v>
      </c>
      <c r="AC22" s="3" t="n"/>
      <c r="AE22" t="n">
        <v>21</v>
      </c>
      <c r="AF22" s="3" t="n"/>
      <c r="AH22" t="n">
        <v>21</v>
      </c>
      <c r="AI22" s="3" t="n"/>
    </row>
    <row r="23">
      <c r="A23" t="n">
        <v>22</v>
      </c>
      <c r="D23" t="n">
        <v>22</v>
      </c>
      <c r="E23" s="3" t="n"/>
      <c r="G23" t="n">
        <v>22</v>
      </c>
      <c r="H23" s="3" t="n"/>
      <c r="J23" t="n">
        <v>22</v>
      </c>
      <c r="K23" s="3" t="n"/>
      <c r="M23" t="n">
        <v>22</v>
      </c>
      <c r="N23" s="3" t="n"/>
      <c r="P23" t="n">
        <v>22</v>
      </c>
      <c r="Q23" s="3" t="n"/>
      <c r="S23" t="n">
        <v>22</v>
      </c>
      <c r="T23" s="3" t="n"/>
      <c r="V23" t="n">
        <v>22</v>
      </c>
      <c r="W23" s="3" t="n"/>
      <c r="Y23" t="n">
        <v>22</v>
      </c>
      <c r="Z23" s="3" t="n"/>
      <c r="AB23" t="n">
        <v>22</v>
      </c>
      <c r="AC23" s="3" t="n"/>
      <c r="AE23" t="n">
        <v>22</v>
      </c>
      <c r="AF23" s="3" t="n"/>
      <c r="AH23" t="n">
        <v>22</v>
      </c>
      <c r="AI23" s="3" t="n"/>
    </row>
    <row r="24">
      <c r="A24" t="n">
        <v>23</v>
      </c>
      <c r="D24" t="n">
        <v>23</v>
      </c>
      <c r="E24" s="3" t="n">
        <v>490</v>
      </c>
      <c r="G24" t="n">
        <v>23</v>
      </c>
      <c r="H24" s="3">
        <f>-1970-2045</f>
        <v/>
      </c>
      <c r="J24" t="n">
        <v>23</v>
      </c>
      <c r="K24" s="3" t="n"/>
      <c r="M24" t="n">
        <v>23</v>
      </c>
      <c r="N24" s="3" t="n"/>
      <c r="P24" t="n">
        <v>23</v>
      </c>
      <c r="Q24" s="3" t="n"/>
      <c r="S24" t="n">
        <v>23</v>
      </c>
      <c r="T24" s="3" t="n"/>
      <c r="V24" t="n">
        <v>23</v>
      </c>
      <c r="W24" s="3" t="n"/>
      <c r="Y24" t="n">
        <v>23</v>
      </c>
      <c r="Z24" s="3" t="n"/>
      <c r="AB24" t="n">
        <v>23</v>
      </c>
      <c r="AC24" s="3" t="n"/>
      <c r="AE24" t="n">
        <v>23</v>
      </c>
      <c r="AF24" s="3" t="n"/>
      <c r="AH24" t="n">
        <v>23</v>
      </c>
      <c r="AI24" s="3" t="n"/>
    </row>
    <row r="25">
      <c r="A25" t="n">
        <v>24</v>
      </c>
      <c r="D25" t="n">
        <v>24</v>
      </c>
      <c r="E25" s="3">
        <f>-335+490</f>
        <v/>
      </c>
      <c r="G25" t="n">
        <v>24</v>
      </c>
      <c r="H25" s="3">
        <f>-245+2230</f>
        <v/>
      </c>
      <c r="J25" t="n">
        <v>24</v>
      </c>
      <c r="K25" s="3" t="n"/>
      <c r="M25" t="n">
        <v>24</v>
      </c>
      <c r="N25" s="3" t="n"/>
      <c r="P25" t="n">
        <v>24</v>
      </c>
      <c r="Q25" s="3" t="n"/>
      <c r="S25" t="n">
        <v>24</v>
      </c>
      <c r="T25" s="3" t="n"/>
      <c r="V25" t="n">
        <v>24</v>
      </c>
      <c r="W25" s="3" t="n"/>
      <c r="Y25" t="n">
        <v>24</v>
      </c>
      <c r="Z25" s="3" t="n"/>
      <c r="AB25" t="n">
        <v>24</v>
      </c>
      <c r="AC25" s="3" t="n"/>
      <c r="AE25" t="n">
        <v>24</v>
      </c>
      <c r="AF25" s="3" t="n"/>
      <c r="AH25" t="n">
        <v>24</v>
      </c>
      <c r="AI25" s="3" t="n"/>
    </row>
    <row r="26">
      <c r="A26" t="n">
        <v>25</v>
      </c>
      <c r="D26" t="n">
        <v>25</v>
      </c>
      <c r="E26" s="3" t="n"/>
      <c r="G26" t="n">
        <v>25</v>
      </c>
      <c r="H26" s="3">
        <f>1300-690</f>
        <v/>
      </c>
      <c r="J26" t="n">
        <v>25</v>
      </c>
      <c r="K26" s="3" t="n"/>
      <c r="M26" t="n">
        <v>25</v>
      </c>
      <c r="N26" s="3" t="n"/>
      <c r="P26" t="n">
        <v>25</v>
      </c>
      <c r="Q26" s="3" t="n"/>
      <c r="S26" t="n">
        <v>25</v>
      </c>
      <c r="T26" s="3" t="n"/>
      <c r="V26" t="n">
        <v>25</v>
      </c>
      <c r="W26" s="3" t="n"/>
      <c r="Y26" t="n">
        <v>25</v>
      </c>
      <c r="Z26" s="3" t="n"/>
      <c r="AB26" t="n">
        <v>25</v>
      </c>
      <c r="AC26" s="3" t="n"/>
      <c r="AE26" t="n">
        <v>25</v>
      </c>
      <c r="AF26" s="3" t="n"/>
      <c r="AH26" t="n">
        <v>25</v>
      </c>
      <c r="AI26" s="3" t="n"/>
    </row>
    <row r="27">
      <c r="A27" t="n">
        <v>26</v>
      </c>
      <c r="D27" t="n">
        <v>26</v>
      </c>
      <c r="E27" s="3" t="n"/>
      <c r="G27" t="n">
        <v>26</v>
      </c>
      <c r="H27" s="3">
        <f>3100+2797</f>
        <v/>
      </c>
      <c r="J27" t="n">
        <v>26</v>
      </c>
      <c r="K27" s="3" t="n"/>
      <c r="M27" t="n">
        <v>26</v>
      </c>
      <c r="N27" s="3" t="n"/>
      <c r="P27" t="n">
        <v>26</v>
      </c>
      <c r="Q27" s="3" t="n"/>
      <c r="S27" t="n">
        <v>26</v>
      </c>
      <c r="T27" s="3" t="n"/>
      <c r="V27" t="n">
        <v>26</v>
      </c>
      <c r="W27" s="3" t="n"/>
      <c r="Y27" t="n">
        <v>26</v>
      </c>
      <c r="Z27" s="3" t="n"/>
      <c r="AB27" t="n">
        <v>26</v>
      </c>
      <c r="AC27" s="3" t="n"/>
      <c r="AE27" t="n">
        <v>26</v>
      </c>
      <c r="AF27" s="3" t="n"/>
      <c r="AH27" t="n">
        <v>26</v>
      </c>
      <c r="AI27" s="3" t="n"/>
    </row>
    <row r="28">
      <c r="A28" t="n">
        <v>27</v>
      </c>
      <c r="D28" t="n">
        <v>27</v>
      </c>
      <c r="E28" s="3" t="n">
        <v>-790</v>
      </c>
      <c r="G28" t="n">
        <v>27</v>
      </c>
      <c r="H28" s="3">
        <f>745+3345</f>
        <v/>
      </c>
      <c r="J28" t="n">
        <v>27</v>
      </c>
      <c r="K28" s="3" t="n"/>
      <c r="M28" t="n">
        <v>27</v>
      </c>
      <c r="N28" s="3" t="n"/>
      <c r="P28" t="n">
        <v>27</v>
      </c>
      <c r="Q28" s="3" t="n"/>
      <c r="S28" t="n">
        <v>27</v>
      </c>
      <c r="T28" s="3" t="n"/>
      <c r="V28" t="n">
        <v>27</v>
      </c>
      <c r="W28" s="3" t="n"/>
      <c r="Y28" t="n">
        <v>27</v>
      </c>
      <c r="Z28" s="3" t="n"/>
      <c r="AB28" t="n">
        <v>27</v>
      </c>
      <c r="AC28" s="3" t="n"/>
      <c r="AE28" t="n">
        <v>27</v>
      </c>
      <c r="AF28" s="3" t="n"/>
      <c r="AH28" t="n">
        <v>27</v>
      </c>
      <c r="AI28" s="3" t="n"/>
    </row>
    <row r="29">
      <c r="A29" t="n">
        <v>28</v>
      </c>
      <c r="D29" t="n">
        <v>28</v>
      </c>
      <c r="E29" s="3" t="n"/>
      <c r="G29" t="n">
        <v>28</v>
      </c>
      <c r="H29" s="3" t="n"/>
      <c r="J29" t="n">
        <v>28</v>
      </c>
      <c r="K29" s="3" t="n"/>
      <c r="M29" t="n">
        <v>28</v>
      </c>
      <c r="N29" s="3" t="n"/>
      <c r="P29" t="n">
        <v>28</v>
      </c>
      <c r="Q29" s="3" t="n"/>
      <c r="S29" t="n">
        <v>28</v>
      </c>
      <c r="T29" s="3" t="n"/>
      <c r="V29" t="n">
        <v>28</v>
      </c>
      <c r="W29" s="3" t="n"/>
      <c r="Y29" t="n">
        <v>28</v>
      </c>
      <c r="Z29" s="3" t="n"/>
      <c r="AB29" t="n">
        <v>28</v>
      </c>
      <c r="AC29" s="3" t="n"/>
      <c r="AE29" t="n">
        <v>28</v>
      </c>
      <c r="AF29" s="3" t="n"/>
      <c r="AH29" t="n">
        <v>28</v>
      </c>
      <c r="AI29" s="3" t="n"/>
    </row>
    <row r="30">
      <c r="A30" t="n">
        <v>29</v>
      </c>
      <c r="D30" t="n">
        <v>29</v>
      </c>
      <c r="E30" s="3" t="n"/>
      <c r="G30" t="n">
        <v>29</v>
      </c>
      <c r="H30" s="3" t="n"/>
      <c r="J30" t="n">
        <v>29</v>
      </c>
      <c r="K30" s="3" t="n"/>
      <c r="M30" t="n">
        <v>29</v>
      </c>
      <c r="N30" s="3" t="n"/>
      <c r="P30" t="n">
        <v>29</v>
      </c>
      <c r="Q30" s="3" t="n"/>
      <c r="S30" t="n">
        <v>29</v>
      </c>
      <c r="T30" s="3" t="n"/>
      <c r="V30" t="n">
        <v>29</v>
      </c>
      <c r="W30" s="3" t="n"/>
      <c r="Y30" t="n">
        <v>29</v>
      </c>
      <c r="Z30" s="3" t="n"/>
      <c r="AB30" t="n">
        <v>29</v>
      </c>
      <c r="AC30" s="3" t="n"/>
      <c r="AE30" t="n">
        <v>29</v>
      </c>
      <c r="AF30" s="3" t="n"/>
      <c r="AH30" t="n">
        <v>29</v>
      </c>
      <c r="AI30" s="3" t="n"/>
    </row>
    <row r="31">
      <c r="A31" t="n">
        <v>30</v>
      </c>
      <c r="D31" t="n">
        <v>30</v>
      </c>
      <c r="E31" s="3" t="n"/>
      <c r="G31" t="n">
        <v>30</v>
      </c>
      <c r="H31" s="3" t="n"/>
      <c r="J31" t="n">
        <v>30</v>
      </c>
      <c r="K31" s="3" t="n"/>
      <c r="M31" t="n">
        <v>30</v>
      </c>
      <c r="N31" s="3" t="n"/>
      <c r="P31" t="n">
        <v>30</v>
      </c>
      <c r="S31" t="n">
        <v>30</v>
      </c>
      <c r="V31" t="n">
        <v>30</v>
      </c>
      <c r="Y31" t="n">
        <v>30</v>
      </c>
      <c r="AB31" t="n">
        <v>30</v>
      </c>
      <c r="AC31" s="3" t="n"/>
      <c r="AE31" t="n">
        <v>30</v>
      </c>
      <c r="AF31" s="3" t="n"/>
      <c r="AH31" t="n">
        <v>30</v>
      </c>
      <c r="AI31" s="3" t="n"/>
    </row>
    <row r="32">
      <c r="A32" t="n">
        <v>31</v>
      </c>
      <c r="D32" t="n">
        <v>31</v>
      </c>
      <c r="E32" s="3" t="n"/>
      <c r="G32" t="n">
        <v>31</v>
      </c>
      <c r="H32" s="3" t="n">
        <v>770</v>
      </c>
      <c r="J32" t="n">
        <v>31</v>
      </c>
      <c r="K32" s="3" t="n"/>
      <c r="M32" t="n">
        <v>31</v>
      </c>
      <c r="N32" s="3" t="n"/>
      <c r="P32" t="n">
        <v>31</v>
      </c>
      <c r="S32" t="n">
        <v>31</v>
      </c>
      <c r="V32" t="n">
        <v>31</v>
      </c>
      <c r="Y32" t="n">
        <v>31</v>
      </c>
      <c r="AB32" t="n">
        <v>31</v>
      </c>
      <c r="AC32" s="3" t="n"/>
      <c r="AE32" t="n">
        <v>31</v>
      </c>
      <c r="AF32" s="3" t="n"/>
      <c r="AH32" t="n">
        <v>31</v>
      </c>
      <c r="AI32" s="3" t="n"/>
    </row>
    <row r="33">
      <c r="E33" s="3" t="n"/>
      <c r="H33" s="3" t="n"/>
    </row>
    <row r="34">
      <c r="E34" s="3" t="n"/>
      <c r="H34" s="3" t="n"/>
    </row>
    <row r="35">
      <c r="A35" t="inlineStr">
        <is>
          <t>Total</t>
        </is>
      </c>
      <c r="B35" s="3">
        <f>SUM(B2:B34)</f>
        <v/>
      </c>
      <c r="E35" s="3">
        <f>SUM(E2:E27)</f>
        <v/>
      </c>
      <c r="H35" s="3">
        <f>SUM(H2:H34)</f>
        <v/>
      </c>
      <c r="K35" s="3">
        <f>SUM(K2:K34)</f>
        <v/>
      </c>
      <c r="N35" s="3">
        <f>SUM(N2:N34)</f>
        <v/>
      </c>
      <c r="Q35" s="3">
        <f>SUM(Q2:Q34)</f>
        <v/>
      </c>
      <c r="T35" s="3">
        <f>SUM(T2:T34)</f>
        <v/>
      </c>
      <c r="W35" s="3">
        <f>SUM(W2:W34)</f>
        <v/>
      </c>
      <c r="Z35" s="3">
        <f>SUM(Z2:Z34)</f>
        <v/>
      </c>
      <c r="AC35" s="3">
        <f>SUM(AC2:AC34)</f>
        <v/>
      </c>
      <c r="AF35" s="3">
        <f>SUM(AF2:AF34)</f>
        <v/>
      </c>
      <c r="AI35" s="3">
        <f>SUM(AI2:AI34)</f>
        <v/>
      </c>
    </row>
  </sheetData>
  <mergeCells count="3">
    <mergeCell ref="D1:E1"/>
    <mergeCell ref="G1:H1"/>
    <mergeCell ref="A1:B1"/>
  </mergeCells>
  <conditionalFormatting sqref="B2:B32">
    <cfRule type="cellIs" priority="43" operator="lessThan" dxfId="1">
      <formula>0</formula>
    </cfRule>
    <cfRule type="cellIs" priority="44" operator="greaterThan" dxfId="0">
      <formula>0</formula>
    </cfRule>
  </conditionalFormatting>
  <conditionalFormatting sqref="B35">
    <cfRule type="cellIs" priority="42" operator="greaterThan" dxfId="0">
      <formula>0</formula>
    </cfRule>
    <cfRule type="cellIs" priority="41" operator="lessThan" dxfId="1">
      <formula>0</formula>
    </cfRule>
  </conditionalFormatting>
  <conditionalFormatting sqref="E2:E35">
    <cfRule type="cellIs" priority="39" operator="lessThan" dxfId="1">
      <formula>0</formula>
    </cfRule>
    <cfRule type="cellIs" priority="40" operator="greaterThan" dxfId="0">
      <formula>0</formula>
    </cfRule>
  </conditionalFormatting>
  <conditionalFormatting sqref="H2:H35">
    <cfRule type="cellIs" priority="34" operator="greaterThan" dxfId="0">
      <formula>0</formula>
    </cfRule>
    <cfRule type="cellIs" priority="33" operator="lessThan" dxfId="1">
      <formula>0</formula>
    </cfRule>
  </conditionalFormatting>
  <conditionalFormatting sqref="K2:K32">
    <cfRule type="cellIs" priority="38" operator="greaterThan" dxfId="0">
      <formula>0</formula>
    </cfRule>
    <cfRule type="cellIs" priority="37" operator="lessThan" dxfId="1">
      <formula>0</formula>
    </cfRule>
  </conditionalFormatting>
  <conditionalFormatting sqref="K35">
    <cfRule type="cellIs" priority="36" operator="greaterThan" dxfId="0">
      <formula>0</formula>
    </cfRule>
    <cfRule type="cellIs" priority="35" operator="lessThan" dxfId="1">
      <formula>0</formula>
    </cfRule>
  </conditionalFormatting>
  <conditionalFormatting sqref="N2:N32">
    <cfRule type="cellIs" priority="32" operator="greaterThan" dxfId="0">
      <formula>0</formula>
    </cfRule>
    <cfRule type="cellIs" priority="31" operator="lessThan" dxfId="1">
      <formula>0</formula>
    </cfRule>
  </conditionalFormatting>
  <conditionalFormatting sqref="N35">
    <cfRule type="cellIs" priority="30" operator="greaterThan" dxfId="0">
      <formula>0</formula>
    </cfRule>
    <cfRule type="cellIs" priority="29" operator="lessThan" dxfId="1">
      <formula>0</formula>
    </cfRule>
  </conditionalFormatting>
  <conditionalFormatting sqref="Q2:Q30">
    <cfRule type="cellIs" priority="28" operator="greaterThan" dxfId="0">
      <formula>0</formula>
    </cfRule>
    <cfRule type="cellIs" priority="27" operator="lessThan" dxfId="1">
      <formula>0</formula>
    </cfRule>
  </conditionalFormatting>
  <conditionalFormatting sqref="Q35">
    <cfRule type="cellIs" priority="26" operator="greaterThan" dxfId="0">
      <formula>0</formula>
    </cfRule>
    <cfRule type="cellIs" priority="25" operator="lessThan" dxfId="1">
      <formula>0</formula>
    </cfRule>
  </conditionalFormatting>
  <conditionalFormatting sqref="T2:T30">
    <cfRule type="cellIs" priority="23" operator="lessThan" dxfId="1">
      <formula>0</formula>
    </cfRule>
    <cfRule type="cellIs" priority="24" operator="greaterThan" dxfId="0">
      <formula>0</formula>
    </cfRule>
  </conditionalFormatting>
  <conditionalFormatting sqref="T35">
    <cfRule type="cellIs" priority="22" operator="greaterThan" dxfId="0">
      <formula>0</formula>
    </cfRule>
    <cfRule type="cellIs" priority="21" operator="lessThan" dxfId="1">
      <formula>0</formula>
    </cfRule>
  </conditionalFormatting>
  <conditionalFormatting sqref="W2:W30">
    <cfRule type="cellIs" priority="20" operator="greaterThan" dxfId="0">
      <formula>0</formula>
    </cfRule>
    <cfRule type="cellIs" priority="19" operator="lessThan" dxfId="1">
      <formula>0</formula>
    </cfRule>
  </conditionalFormatting>
  <conditionalFormatting sqref="W35">
    <cfRule type="cellIs" priority="18" operator="greaterThan" dxfId="0">
      <formula>0</formula>
    </cfRule>
    <cfRule type="cellIs" priority="17" operator="lessThan" dxfId="1">
      <formula>0</formula>
    </cfRule>
  </conditionalFormatting>
  <conditionalFormatting sqref="Z2:Z30">
    <cfRule type="cellIs" priority="16" operator="greaterThan" dxfId="0">
      <formula>0</formula>
    </cfRule>
    <cfRule type="cellIs" priority="15" operator="lessThan" dxfId="1">
      <formula>0</formula>
    </cfRule>
  </conditionalFormatting>
  <conditionalFormatting sqref="Z35">
    <cfRule type="cellIs" priority="14" operator="greaterThan" dxfId="0">
      <formula>0</formula>
    </cfRule>
    <cfRule type="cellIs" priority="13" operator="lessThan" dxfId="1">
      <formula>0</formula>
    </cfRule>
  </conditionalFormatting>
  <conditionalFormatting sqref="AC2:AC32">
    <cfRule type="cellIs" priority="11" operator="lessThan" dxfId="1">
      <formula>0</formula>
    </cfRule>
    <cfRule type="cellIs" priority="12" operator="greaterThan" dxfId="0">
      <formula>0</formula>
    </cfRule>
  </conditionalFormatting>
  <conditionalFormatting sqref="AC35">
    <cfRule type="cellIs" priority="10" operator="greaterThan" dxfId="0">
      <formula>0</formula>
    </cfRule>
    <cfRule type="cellIs" priority="9" operator="lessThan" dxfId="1">
      <formula>0</formula>
    </cfRule>
  </conditionalFormatting>
  <conditionalFormatting sqref="AF2:AF32">
    <cfRule type="cellIs" priority="8" operator="greaterThan" dxfId="0">
      <formula>0</formula>
    </cfRule>
    <cfRule type="cellIs" priority="7" operator="lessThan" dxfId="1">
      <formula>0</formula>
    </cfRule>
  </conditionalFormatting>
  <conditionalFormatting sqref="AF35">
    <cfRule type="cellIs" priority="6" operator="greaterThan" dxfId="0">
      <formula>0</formula>
    </cfRule>
    <cfRule type="cellIs" priority="5" operator="lessThan" dxfId="1">
      <formula>0</formula>
    </cfRule>
  </conditionalFormatting>
  <conditionalFormatting sqref="AI2:AI32">
    <cfRule type="cellIs" priority="4" operator="greaterThan" dxfId="0">
      <formula>0</formula>
    </cfRule>
    <cfRule type="cellIs" priority="3" operator="lessThan" dxfId="1">
      <formula>0</formula>
    </cfRule>
  </conditionalFormatting>
  <conditionalFormatting sqref="AI35">
    <cfRule type="cellIs" priority="2" operator="greaterThan" dxfId="0">
      <formula>0</formula>
    </cfRule>
    <cfRule type="cellIs" priority="1" operator="lessThan" dxfId="1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selection activeCell="B35" sqref="B35:K35"/>
    </sheetView>
  </sheetViews>
  <sheetFormatPr baseColWidth="8" defaultRowHeight="15"/>
  <cols>
    <col width="18.42578125" customWidth="1" min="1" max="1"/>
    <col width="15.42578125" customWidth="1" style="3" min="2" max="2"/>
    <col width="11.5703125" customWidth="1" min="4" max="4"/>
    <col width="12.5703125" customWidth="1" min="5" max="5"/>
    <col width="11.5703125" customWidth="1" min="7" max="7"/>
    <col width="12.5703125" customWidth="1" min="8" max="8"/>
    <col width="11.5703125" customWidth="1" min="10" max="10"/>
    <col width="10.140625" bestFit="1" customWidth="1" min="11" max="11"/>
    <col width="10.42578125" bestFit="1" customWidth="1" min="13" max="13"/>
    <col width="10.85546875" bestFit="1" customWidth="1" min="14" max="14"/>
    <col width="10.85546875" bestFit="1" customWidth="1" min="17" max="17"/>
    <col width="10.85546875" bestFit="1" customWidth="1" min="20" max="20"/>
    <col width="10.85546875" bestFit="1" customWidth="1" min="23" max="23"/>
    <col width="10.85546875" bestFit="1" customWidth="1" min="26" max="26"/>
    <col width="10.85546875" bestFit="1" customWidth="1" min="29" max="29"/>
    <col width="10.85546875" bestFit="1" customWidth="1" min="32" max="32"/>
    <col width="10.140625" bestFit="1" customWidth="1" min="35" max="35"/>
  </cols>
  <sheetData>
    <row r="1" customFormat="1" s="2">
      <c r="A1" s="9" t="inlineStr">
        <is>
          <t>January</t>
        </is>
      </c>
      <c r="D1" s="9" t="inlineStr">
        <is>
          <t>February</t>
        </is>
      </c>
      <c r="G1" s="9" t="inlineStr">
        <is>
          <t>March</t>
        </is>
      </c>
      <c r="J1" s="2" t="inlineStr">
        <is>
          <t>April</t>
        </is>
      </c>
      <c r="M1" s="2" t="inlineStr">
        <is>
          <t>May</t>
        </is>
      </c>
      <c r="P1" s="2" t="inlineStr">
        <is>
          <t>Jun</t>
        </is>
      </c>
      <c r="S1" s="2" t="inlineStr">
        <is>
          <t>Jul</t>
        </is>
      </c>
      <c r="V1" s="2" t="inlineStr">
        <is>
          <t>Aug</t>
        </is>
      </c>
      <c r="Y1" s="2" t="inlineStr">
        <is>
          <t>Sep</t>
        </is>
      </c>
      <c r="AB1" s="2" t="inlineStr">
        <is>
          <t>Oct</t>
        </is>
      </c>
      <c r="AE1" s="2" t="inlineStr">
        <is>
          <t>Nov</t>
        </is>
      </c>
      <c r="AH1" s="2" t="inlineStr">
        <is>
          <t>Dec</t>
        </is>
      </c>
    </row>
    <row r="2">
      <c r="A2" t="n">
        <v>1</v>
      </c>
      <c r="D2" t="n">
        <v>1</v>
      </c>
      <c r="E2" s="3" t="n"/>
      <c r="G2" t="n">
        <v>1</v>
      </c>
      <c r="H2" s="3" t="n"/>
      <c r="J2" t="n">
        <v>1</v>
      </c>
      <c r="K2" s="3" t="n"/>
      <c r="M2" t="n">
        <v>1</v>
      </c>
      <c r="N2" s="3" t="n"/>
      <c r="P2" t="n">
        <v>1</v>
      </c>
      <c r="Q2" s="3" t="n"/>
      <c r="S2" t="n">
        <v>1</v>
      </c>
      <c r="T2" s="3" t="n"/>
      <c r="V2" t="n">
        <v>1</v>
      </c>
      <c r="W2" s="3" t="n"/>
      <c r="Y2" t="n">
        <v>1</v>
      </c>
      <c r="Z2" s="3" t="n"/>
      <c r="AB2" t="n">
        <v>1</v>
      </c>
      <c r="AC2" s="3" t="n"/>
      <c r="AE2" t="n">
        <v>1</v>
      </c>
      <c r="AF2" s="3" t="n"/>
      <c r="AH2" t="n">
        <v>1</v>
      </c>
      <c r="AI2" s="3" t="n"/>
    </row>
    <row r="3">
      <c r="A3" t="n">
        <v>2</v>
      </c>
      <c r="D3" t="n">
        <v>2</v>
      </c>
      <c r="E3" s="3" t="n">
        <v>1525</v>
      </c>
      <c r="G3" t="n">
        <v>2</v>
      </c>
      <c r="H3" s="3" t="n">
        <v>795</v>
      </c>
      <c r="J3" t="n">
        <v>2</v>
      </c>
      <c r="K3" s="3" t="n"/>
      <c r="M3" t="n">
        <v>2</v>
      </c>
      <c r="N3" s="3" t="n"/>
      <c r="P3" t="n">
        <v>2</v>
      </c>
      <c r="Q3" s="3" t="n"/>
      <c r="S3" t="n">
        <v>2</v>
      </c>
      <c r="T3" s="3" t="n"/>
      <c r="V3" t="n">
        <v>2</v>
      </c>
      <c r="W3" s="3" t="n"/>
      <c r="Y3" t="n">
        <v>2</v>
      </c>
      <c r="Z3" s="3" t="n"/>
      <c r="AB3" t="n">
        <v>2</v>
      </c>
      <c r="AC3" s="3" t="n"/>
      <c r="AE3" t="n">
        <v>2</v>
      </c>
      <c r="AF3" s="3" t="n"/>
      <c r="AH3" t="n">
        <v>2</v>
      </c>
      <c r="AI3" s="3" t="n"/>
    </row>
    <row r="4">
      <c r="A4" t="n">
        <v>3</v>
      </c>
      <c r="D4" t="n">
        <v>3</v>
      </c>
      <c r="E4" s="3" t="n"/>
      <c r="G4" t="n">
        <v>3</v>
      </c>
      <c r="H4" s="3" t="n"/>
      <c r="J4" t="n">
        <v>3</v>
      </c>
      <c r="K4" s="3" t="n"/>
      <c r="M4" t="n">
        <v>3</v>
      </c>
      <c r="N4" s="3" t="n"/>
      <c r="P4" t="n">
        <v>3</v>
      </c>
      <c r="Q4" s="3" t="n"/>
      <c r="S4" t="n">
        <v>3</v>
      </c>
      <c r="T4" s="3" t="n"/>
      <c r="V4" t="n">
        <v>3</v>
      </c>
      <c r="W4" s="3" t="n"/>
      <c r="Y4" t="n">
        <v>3</v>
      </c>
      <c r="Z4" s="3" t="n"/>
      <c r="AB4" t="n">
        <v>3</v>
      </c>
      <c r="AC4" s="3" t="n"/>
      <c r="AE4" t="n">
        <v>3</v>
      </c>
      <c r="AF4" s="3" t="n"/>
      <c r="AH4" t="n">
        <v>3</v>
      </c>
      <c r="AI4" s="3" t="n"/>
    </row>
    <row r="5">
      <c r="A5" t="n">
        <v>4</v>
      </c>
      <c r="D5" t="n">
        <v>4</v>
      </c>
      <c r="E5" s="3" t="n"/>
      <c r="G5" t="n">
        <v>4</v>
      </c>
      <c r="H5" s="3" t="n"/>
      <c r="J5" t="n">
        <v>4</v>
      </c>
      <c r="K5" s="3" t="n"/>
      <c r="M5" t="n">
        <v>4</v>
      </c>
      <c r="N5" s="3" t="n"/>
      <c r="P5" t="n">
        <v>4</v>
      </c>
      <c r="Q5" s="3" t="n"/>
      <c r="S5" t="n">
        <v>4</v>
      </c>
      <c r="T5" s="3" t="n"/>
      <c r="V5" t="n">
        <v>4</v>
      </c>
      <c r="W5" s="3" t="n"/>
      <c r="Y5" t="n">
        <v>4</v>
      </c>
      <c r="Z5" s="3" t="n"/>
      <c r="AB5" t="n">
        <v>4</v>
      </c>
      <c r="AC5" s="3" t="n"/>
      <c r="AE5" t="n">
        <v>4</v>
      </c>
      <c r="AF5" s="3" t="n"/>
      <c r="AH5" t="n">
        <v>4</v>
      </c>
      <c r="AI5" s="3" t="n"/>
    </row>
    <row r="6">
      <c r="A6" t="n">
        <v>5</v>
      </c>
      <c r="B6" s="3" t="n">
        <v>170</v>
      </c>
      <c r="D6" t="n">
        <v>5</v>
      </c>
      <c r="E6" s="3" t="n"/>
      <c r="G6" t="n">
        <v>5</v>
      </c>
      <c r="H6" s="3" t="n"/>
      <c r="J6" t="n">
        <v>5</v>
      </c>
      <c r="K6" s="3" t="n"/>
      <c r="M6" t="n">
        <v>5</v>
      </c>
      <c r="N6" s="3" t="n"/>
      <c r="P6" t="n">
        <v>5</v>
      </c>
      <c r="Q6" s="3" t="n"/>
      <c r="S6" t="n">
        <v>5</v>
      </c>
      <c r="T6" s="3" t="n"/>
      <c r="V6" t="n">
        <v>5</v>
      </c>
      <c r="W6" s="3" t="n"/>
      <c r="Y6" t="n">
        <v>5</v>
      </c>
      <c r="Z6" s="3" t="n"/>
      <c r="AB6" t="n">
        <v>5</v>
      </c>
      <c r="AC6" s="3" t="n"/>
      <c r="AE6" t="n">
        <v>5</v>
      </c>
      <c r="AF6" s="3" t="n"/>
      <c r="AH6" t="n">
        <v>5</v>
      </c>
      <c r="AI6" s="3" t="n"/>
    </row>
    <row r="7">
      <c r="A7" t="n">
        <v>6</v>
      </c>
      <c r="D7" t="n">
        <v>6</v>
      </c>
      <c r="E7" s="3" t="n"/>
      <c r="G7" t="n">
        <v>6</v>
      </c>
      <c r="H7" s="3" t="n"/>
      <c r="J7" t="n">
        <v>6</v>
      </c>
      <c r="K7" s="3" t="n"/>
      <c r="M7" t="n">
        <v>6</v>
      </c>
      <c r="N7" s="3" t="n"/>
      <c r="P7" t="n">
        <v>6</v>
      </c>
      <c r="Q7" s="3" t="n"/>
      <c r="S7" t="n">
        <v>6</v>
      </c>
      <c r="T7" s="3" t="n"/>
      <c r="V7" t="n">
        <v>6</v>
      </c>
      <c r="W7" s="3" t="n"/>
      <c r="Y7" t="n">
        <v>6</v>
      </c>
      <c r="Z7" s="3" t="n"/>
      <c r="AB7" t="n">
        <v>6</v>
      </c>
      <c r="AC7" s="3" t="n"/>
      <c r="AE7" t="n">
        <v>6</v>
      </c>
      <c r="AF7" s="3" t="n"/>
      <c r="AH7" t="n">
        <v>6</v>
      </c>
      <c r="AI7" s="3" t="n"/>
    </row>
    <row r="8">
      <c r="A8" t="n">
        <v>7</v>
      </c>
      <c r="D8" t="n">
        <v>7</v>
      </c>
      <c r="E8" s="3" t="n"/>
      <c r="G8" t="n">
        <v>7</v>
      </c>
      <c r="H8" s="3" t="n"/>
      <c r="J8" t="n">
        <v>7</v>
      </c>
      <c r="K8" s="3" t="n"/>
      <c r="M8" t="n">
        <v>7</v>
      </c>
      <c r="N8" s="3" t="n"/>
      <c r="P8" t="n">
        <v>7</v>
      </c>
      <c r="Q8" s="3" t="n"/>
      <c r="S8" t="n">
        <v>7</v>
      </c>
      <c r="T8" s="3" t="n"/>
      <c r="V8" t="n">
        <v>7</v>
      </c>
      <c r="W8" s="3" t="n"/>
      <c r="Y8" t="n">
        <v>7</v>
      </c>
      <c r="Z8" s="3" t="n"/>
      <c r="AB8" t="n">
        <v>7</v>
      </c>
      <c r="AC8" s="3" t="n"/>
      <c r="AE8" t="n">
        <v>7</v>
      </c>
      <c r="AF8" s="3" t="n"/>
      <c r="AH8" t="n">
        <v>7</v>
      </c>
      <c r="AI8" s="3" t="n"/>
    </row>
    <row r="9">
      <c r="A9" t="n">
        <v>8</v>
      </c>
      <c r="D9" t="n">
        <v>8</v>
      </c>
      <c r="E9" s="3" t="n"/>
      <c r="G9" t="n">
        <v>8</v>
      </c>
      <c r="H9" s="3" t="n"/>
      <c r="J9" t="n">
        <v>8</v>
      </c>
      <c r="K9" s="3" t="n"/>
      <c r="M9" t="n">
        <v>8</v>
      </c>
      <c r="N9" s="3" t="n"/>
      <c r="P9" t="n">
        <v>8</v>
      </c>
      <c r="Q9" s="3" t="n"/>
      <c r="S9" t="n">
        <v>8</v>
      </c>
      <c r="T9" s="3" t="n"/>
      <c r="V9" t="n">
        <v>8</v>
      </c>
      <c r="W9" s="3" t="n"/>
      <c r="Y9" t="n">
        <v>8</v>
      </c>
      <c r="Z9" s="3" t="n"/>
      <c r="AB9" t="n">
        <v>8</v>
      </c>
      <c r="AC9" s="3" t="n"/>
      <c r="AE9" t="n">
        <v>8</v>
      </c>
      <c r="AF9" s="3" t="n"/>
      <c r="AH9" t="n">
        <v>8</v>
      </c>
      <c r="AI9" s="3" t="n"/>
    </row>
    <row r="10">
      <c r="A10" t="n">
        <v>9</v>
      </c>
      <c r="D10" t="n">
        <v>9</v>
      </c>
      <c r="E10" s="3" t="n">
        <v>255</v>
      </c>
      <c r="G10" t="n">
        <v>9</v>
      </c>
      <c r="H10" s="3" t="n">
        <v>1805</v>
      </c>
      <c r="J10" t="n">
        <v>9</v>
      </c>
      <c r="K10" s="3" t="n"/>
      <c r="M10" t="n">
        <v>9</v>
      </c>
      <c r="N10" s="3" t="n"/>
      <c r="P10" t="n">
        <v>9</v>
      </c>
      <c r="Q10" s="3" t="n"/>
      <c r="S10" t="n">
        <v>9</v>
      </c>
      <c r="T10" s="3" t="n"/>
      <c r="V10" t="n">
        <v>9</v>
      </c>
      <c r="W10" s="3" t="n"/>
      <c r="Y10" t="n">
        <v>9</v>
      </c>
      <c r="Z10" s="3" t="n"/>
      <c r="AB10" t="n">
        <v>9</v>
      </c>
      <c r="AC10" s="3" t="n"/>
      <c r="AE10" t="n">
        <v>9</v>
      </c>
      <c r="AF10" s="3" t="n"/>
      <c r="AH10" t="n">
        <v>9</v>
      </c>
      <c r="AI10" s="3" t="n"/>
    </row>
    <row r="11">
      <c r="A11" t="n">
        <v>10</v>
      </c>
      <c r="D11" t="n">
        <v>10</v>
      </c>
      <c r="E11" s="3" t="n"/>
      <c r="G11" t="n">
        <v>10</v>
      </c>
      <c r="H11" s="3" t="n"/>
      <c r="J11" t="n">
        <v>10</v>
      </c>
      <c r="K11" s="3" t="n"/>
      <c r="M11" t="n">
        <v>10</v>
      </c>
      <c r="N11" s="3" t="n"/>
      <c r="P11" t="n">
        <v>10</v>
      </c>
      <c r="Q11" s="3" t="n"/>
      <c r="S11" t="n">
        <v>10</v>
      </c>
      <c r="T11" s="3" t="n"/>
      <c r="V11" t="n">
        <v>10</v>
      </c>
      <c r="W11" s="3" t="n"/>
      <c r="Y11" t="n">
        <v>10</v>
      </c>
      <c r="Z11" s="3" t="n"/>
      <c r="AB11" t="n">
        <v>10</v>
      </c>
      <c r="AC11" s="3" t="n"/>
      <c r="AE11" t="n">
        <v>10</v>
      </c>
      <c r="AF11" s="3" t="n"/>
      <c r="AH11" t="n">
        <v>10</v>
      </c>
      <c r="AI11" s="3" t="n"/>
    </row>
    <row r="12">
      <c r="A12" t="n">
        <v>11</v>
      </c>
      <c r="D12" t="n">
        <v>11</v>
      </c>
      <c r="E12" s="3" t="n"/>
      <c r="G12" t="n">
        <v>11</v>
      </c>
      <c r="H12" s="3" t="n"/>
      <c r="J12" t="n">
        <v>11</v>
      </c>
      <c r="K12" s="3" t="n"/>
      <c r="M12" t="n">
        <v>11</v>
      </c>
      <c r="N12" s="3" t="n"/>
      <c r="P12" t="n">
        <v>11</v>
      </c>
      <c r="Q12" s="3" t="n"/>
      <c r="S12" t="n">
        <v>11</v>
      </c>
      <c r="T12" s="3" t="n"/>
      <c r="V12" t="n">
        <v>11</v>
      </c>
      <c r="W12" s="3" t="n"/>
      <c r="Y12" t="n">
        <v>11</v>
      </c>
      <c r="Z12" s="3" t="n"/>
      <c r="AB12" t="n">
        <v>11</v>
      </c>
      <c r="AC12" s="3" t="n"/>
      <c r="AE12" t="n">
        <v>11</v>
      </c>
      <c r="AF12" s="3" t="n"/>
      <c r="AH12" t="n">
        <v>11</v>
      </c>
      <c r="AI12" s="3" t="n"/>
    </row>
    <row r="13">
      <c r="A13" t="n">
        <v>12</v>
      </c>
      <c r="B13" s="3" t="n">
        <v>840</v>
      </c>
      <c r="D13" t="n">
        <v>12</v>
      </c>
      <c r="E13" s="3" t="n"/>
      <c r="G13" t="n">
        <v>12</v>
      </c>
      <c r="H13" s="3" t="n"/>
      <c r="J13" t="n">
        <v>12</v>
      </c>
      <c r="K13" s="3" t="n"/>
      <c r="M13" t="n">
        <v>12</v>
      </c>
      <c r="N13" s="3" t="n"/>
      <c r="P13" t="n">
        <v>12</v>
      </c>
      <c r="Q13" s="3" t="n"/>
      <c r="S13" t="n">
        <v>12</v>
      </c>
      <c r="T13" s="3" t="n"/>
      <c r="V13" t="n">
        <v>12</v>
      </c>
      <c r="W13" s="3" t="n"/>
      <c r="Y13" t="n">
        <v>12</v>
      </c>
      <c r="Z13" s="3" t="n"/>
      <c r="AB13" t="n">
        <v>12</v>
      </c>
      <c r="AC13" s="3" t="n"/>
      <c r="AE13" t="n">
        <v>12</v>
      </c>
      <c r="AF13" s="3" t="n"/>
      <c r="AH13" t="n">
        <v>12</v>
      </c>
      <c r="AI13" s="3" t="n"/>
    </row>
    <row r="14">
      <c r="A14" t="n">
        <v>13</v>
      </c>
      <c r="D14" t="n">
        <v>13</v>
      </c>
      <c r="E14" s="3" t="n"/>
      <c r="G14" t="n">
        <v>13</v>
      </c>
      <c r="H14" s="3" t="n"/>
      <c r="J14" t="n">
        <v>13</v>
      </c>
      <c r="K14" s="3" t="n"/>
      <c r="M14" t="n">
        <v>13</v>
      </c>
      <c r="N14" s="3" t="n"/>
      <c r="P14" t="n">
        <v>13</v>
      </c>
      <c r="Q14" s="3" t="n"/>
      <c r="S14" t="n">
        <v>13</v>
      </c>
      <c r="T14" s="3" t="n"/>
      <c r="V14" t="n">
        <v>13</v>
      </c>
      <c r="W14" s="3" t="n"/>
      <c r="Y14" t="n">
        <v>13</v>
      </c>
      <c r="Z14" s="3" t="n"/>
      <c r="AB14" t="n">
        <v>13</v>
      </c>
      <c r="AC14" s="3" t="n"/>
      <c r="AE14" t="n">
        <v>13</v>
      </c>
      <c r="AF14" s="3" t="n"/>
      <c r="AH14" t="n">
        <v>13</v>
      </c>
      <c r="AI14" s="3" t="n"/>
    </row>
    <row r="15">
      <c r="A15" t="n">
        <v>14</v>
      </c>
      <c r="D15" t="n">
        <v>14</v>
      </c>
      <c r="E15" s="3" t="n"/>
      <c r="G15" t="n">
        <v>14</v>
      </c>
      <c r="H15" s="3" t="n"/>
      <c r="J15" t="n">
        <v>14</v>
      </c>
      <c r="K15" s="3" t="n"/>
      <c r="M15" t="n">
        <v>14</v>
      </c>
      <c r="N15" s="3" t="n"/>
      <c r="P15" t="n">
        <v>14</v>
      </c>
      <c r="Q15" s="3" t="n"/>
      <c r="S15" t="n">
        <v>14</v>
      </c>
      <c r="T15" s="3" t="n"/>
      <c r="V15" t="n">
        <v>14</v>
      </c>
      <c r="W15" s="3" t="n"/>
      <c r="Y15" t="n">
        <v>14</v>
      </c>
      <c r="Z15" s="3" t="n"/>
      <c r="AB15" t="n">
        <v>14</v>
      </c>
      <c r="AC15" s="3" t="n"/>
      <c r="AE15" t="n">
        <v>14</v>
      </c>
      <c r="AF15" s="3" t="n"/>
      <c r="AH15" t="n">
        <v>14</v>
      </c>
      <c r="AI15" s="3" t="n"/>
    </row>
    <row r="16">
      <c r="A16" t="n">
        <v>15</v>
      </c>
      <c r="D16" t="n">
        <v>15</v>
      </c>
      <c r="E16" s="3" t="n"/>
      <c r="G16" t="n">
        <v>15</v>
      </c>
      <c r="H16" s="3" t="n"/>
      <c r="J16" t="n">
        <v>15</v>
      </c>
      <c r="K16" s="3" t="n"/>
      <c r="M16" t="n">
        <v>15</v>
      </c>
      <c r="N16" s="3" t="n"/>
      <c r="P16" t="n">
        <v>15</v>
      </c>
      <c r="Q16" s="3" t="n"/>
      <c r="S16" t="n">
        <v>15</v>
      </c>
      <c r="T16" s="3" t="n"/>
      <c r="V16" t="n">
        <v>15</v>
      </c>
      <c r="W16" s="3" t="n"/>
      <c r="Y16" t="n">
        <v>15</v>
      </c>
      <c r="Z16" s="3" t="n"/>
      <c r="AB16" t="n">
        <v>15</v>
      </c>
      <c r="AC16" s="3" t="n"/>
      <c r="AE16" t="n">
        <v>15</v>
      </c>
      <c r="AF16" s="3" t="n"/>
      <c r="AH16" t="n">
        <v>15</v>
      </c>
      <c r="AI16" s="3" t="n"/>
    </row>
    <row r="17">
      <c r="A17" t="n">
        <v>16</v>
      </c>
      <c r="D17" t="n">
        <v>16</v>
      </c>
      <c r="E17" s="3" t="n"/>
      <c r="G17" t="n">
        <v>16</v>
      </c>
      <c r="H17" s="3" t="n">
        <v>1900</v>
      </c>
      <c r="J17" t="n">
        <v>16</v>
      </c>
      <c r="K17" s="3" t="n"/>
      <c r="M17" t="n">
        <v>16</v>
      </c>
      <c r="N17" s="3" t="n"/>
      <c r="P17" t="n">
        <v>16</v>
      </c>
      <c r="Q17" s="3" t="n"/>
      <c r="S17" t="n">
        <v>16</v>
      </c>
      <c r="T17" s="3" t="n"/>
      <c r="V17" t="n">
        <v>16</v>
      </c>
      <c r="W17" s="3" t="n"/>
      <c r="Y17" t="n">
        <v>16</v>
      </c>
      <c r="Z17" s="3" t="n"/>
      <c r="AB17" t="n">
        <v>16</v>
      </c>
      <c r="AC17" s="3" t="n"/>
      <c r="AE17" t="n">
        <v>16</v>
      </c>
      <c r="AF17" s="3" t="n"/>
      <c r="AH17" t="n">
        <v>16</v>
      </c>
      <c r="AI17" s="3" t="n"/>
    </row>
    <row r="18">
      <c r="A18" t="n">
        <v>17</v>
      </c>
      <c r="D18" t="n">
        <v>17</v>
      </c>
      <c r="E18" s="3" t="n"/>
      <c r="G18" t="n">
        <v>17</v>
      </c>
      <c r="H18" s="3" t="n"/>
      <c r="J18" t="n">
        <v>17</v>
      </c>
      <c r="K18" s="3" t="n"/>
      <c r="M18" t="n">
        <v>17</v>
      </c>
      <c r="N18" s="3" t="n"/>
      <c r="P18" t="n">
        <v>17</v>
      </c>
      <c r="Q18" s="3" t="n"/>
      <c r="S18" t="n">
        <v>17</v>
      </c>
      <c r="T18" s="3" t="n"/>
      <c r="V18" t="n">
        <v>17</v>
      </c>
      <c r="W18" s="3" t="n"/>
      <c r="Y18" t="n">
        <v>17</v>
      </c>
      <c r="Z18" s="3" t="n"/>
      <c r="AB18" t="n">
        <v>17</v>
      </c>
      <c r="AC18" s="3" t="n"/>
      <c r="AE18" t="n">
        <v>17</v>
      </c>
      <c r="AF18" s="3" t="n"/>
      <c r="AH18" t="n">
        <v>17</v>
      </c>
      <c r="AI18" s="3" t="n"/>
    </row>
    <row r="19">
      <c r="A19" t="n">
        <v>18</v>
      </c>
      <c r="D19" t="n">
        <v>18</v>
      </c>
      <c r="E19" s="3" t="n"/>
      <c r="G19" t="n">
        <v>18</v>
      </c>
      <c r="H19" s="3" t="n"/>
      <c r="J19" t="n">
        <v>18</v>
      </c>
      <c r="K19" s="3" t="n"/>
      <c r="M19" t="n">
        <v>18</v>
      </c>
      <c r="N19" s="3" t="n"/>
      <c r="P19" t="n">
        <v>18</v>
      </c>
      <c r="Q19" s="3" t="n"/>
      <c r="S19" t="n">
        <v>18</v>
      </c>
      <c r="T19" s="3" t="n"/>
      <c r="V19" t="n">
        <v>18</v>
      </c>
      <c r="W19" s="3" t="n"/>
      <c r="Y19" t="n">
        <v>18</v>
      </c>
      <c r="Z19" s="3" t="n"/>
      <c r="AB19" t="n">
        <v>18</v>
      </c>
      <c r="AC19" s="3" t="n"/>
      <c r="AE19" t="n">
        <v>18</v>
      </c>
      <c r="AF19" s="3" t="n"/>
      <c r="AH19" t="n">
        <v>18</v>
      </c>
      <c r="AI19" s="3" t="n"/>
    </row>
    <row r="20">
      <c r="A20" t="n">
        <v>19</v>
      </c>
      <c r="D20" t="n">
        <v>19</v>
      </c>
      <c r="E20" s="3" t="n"/>
      <c r="G20" t="n">
        <v>19</v>
      </c>
      <c r="H20" s="3" t="n"/>
      <c r="J20" t="n">
        <v>19</v>
      </c>
      <c r="K20" s="3" t="n"/>
      <c r="M20" t="n">
        <v>19</v>
      </c>
      <c r="N20" s="3" t="n"/>
      <c r="P20" t="n">
        <v>19</v>
      </c>
      <c r="Q20" s="3" t="n"/>
      <c r="S20" t="n">
        <v>19</v>
      </c>
      <c r="T20" s="3" t="n"/>
      <c r="V20" t="n">
        <v>19</v>
      </c>
      <c r="W20" s="3" t="n"/>
      <c r="Y20" t="n">
        <v>19</v>
      </c>
      <c r="Z20" s="3" t="n"/>
      <c r="AB20" t="n">
        <v>19</v>
      </c>
      <c r="AC20" s="3" t="n"/>
      <c r="AE20" t="n">
        <v>19</v>
      </c>
      <c r="AF20" s="3" t="n"/>
      <c r="AH20" t="n">
        <v>19</v>
      </c>
      <c r="AI20" s="3" t="n"/>
    </row>
    <row r="21">
      <c r="A21" t="n">
        <v>20</v>
      </c>
      <c r="D21" t="n">
        <v>20</v>
      </c>
      <c r="E21" s="3" t="n"/>
      <c r="G21" t="n">
        <v>20</v>
      </c>
      <c r="H21" s="3" t="n"/>
      <c r="J21" t="n">
        <v>20</v>
      </c>
      <c r="K21" s="3" t="n"/>
      <c r="M21" t="n">
        <v>20</v>
      </c>
      <c r="N21" s="3" t="n"/>
      <c r="P21" t="n">
        <v>20</v>
      </c>
      <c r="Q21" s="3" t="n"/>
      <c r="S21" t="n">
        <v>20</v>
      </c>
      <c r="T21" s="3" t="n"/>
      <c r="V21" t="n">
        <v>20</v>
      </c>
      <c r="W21" s="3" t="n"/>
      <c r="Y21" t="n">
        <v>20</v>
      </c>
      <c r="Z21" s="3" t="n"/>
      <c r="AB21" t="n">
        <v>20</v>
      </c>
      <c r="AC21" s="3" t="n"/>
      <c r="AE21" t="n">
        <v>20</v>
      </c>
      <c r="AF21" s="3" t="n"/>
      <c r="AH21" t="n">
        <v>20</v>
      </c>
      <c r="AI21" s="3" t="n"/>
    </row>
    <row r="22">
      <c r="A22" t="n">
        <v>21</v>
      </c>
      <c r="D22" t="n">
        <v>21</v>
      </c>
      <c r="E22" s="3" t="n"/>
      <c r="G22" t="n">
        <v>21</v>
      </c>
      <c r="H22" s="3" t="n"/>
      <c r="J22" t="n">
        <v>21</v>
      </c>
      <c r="K22" s="3" t="n"/>
      <c r="M22" t="n">
        <v>21</v>
      </c>
      <c r="N22" s="3" t="n"/>
      <c r="P22" t="n">
        <v>21</v>
      </c>
      <c r="Q22" s="3" t="n"/>
      <c r="S22" t="n">
        <v>21</v>
      </c>
      <c r="T22" s="3" t="n"/>
      <c r="V22" t="n">
        <v>21</v>
      </c>
      <c r="W22" s="3" t="n"/>
      <c r="Y22" t="n">
        <v>21</v>
      </c>
      <c r="Z22" s="3" t="n"/>
      <c r="AB22" t="n">
        <v>21</v>
      </c>
      <c r="AC22" s="3" t="n"/>
      <c r="AE22" t="n">
        <v>21</v>
      </c>
      <c r="AF22" s="3" t="n"/>
      <c r="AH22" t="n">
        <v>21</v>
      </c>
      <c r="AI22" s="3" t="n"/>
    </row>
    <row r="23">
      <c r="A23" t="n">
        <v>22</v>
      </c>
      <c r="D23" t="n">
        <v>22</v>
      </c>
      <c r="E23" s="3" t="n"/>
      <c r="G23" t="n">
        <v>22</v>
      </c>
      <c r="H23" s="3" t="n"/>
      <c r="J23" t="n">
        <v>22</v>
      </c>
      <c r="K23" s="3" t="n"/>
      <c r="M23" t="n">
        <v>22</v>
      </c>
      <c r="N23" s="3" t="n"/>
      <c r="P23" t="n">
        <v>22</v>
      </c>
      <c r="Q23" s="3" t="n"/>
      <c r="S23" t="n">
        <v>22</v>
      </c>
      <c r="T23" s="3" t="n"/>
      <c r="V23" t="n">
        <v>22</v>
      </c>
      <c r="W23" s="3" t="n"/>
      <c r="Y23" t="n">
        <v>22</v>
      </c>
      <c r="Z23" s="3" t="n"/>
      <c r="AB23" t="n">
        <v>22</v>
      </c>
      <c r="AC23" s="3" t="n"/>
      <c r="AE23" t="n">
        <v>22</v>
      </c>
      <c r="AF23" s="3" t="n"/>
      <c r="AH23" t="n">
        <v>22</v>
      </c>
      <c r="AI23" s="3" t="n"/>
    </row>
    <row r="24">
      <c r="A24" t="n">
        <v>23</v>
      </c>
      <c r="D24" t="n">
        <v>23</v>
      </c>
      <c r="E24" s="3" t="n">
        <v>3830</v>
      </c>
      <c r="G24" t="n">
        <v>23</v>
      </c>
      <c r="H24" s="3" t="n">
        <v>-2755</v>
      </c>
      <c r="J24" t="n">
        <v>23</v>
      </c>
      <c r="K24" s="3" t="n"/>
      <c r="M24" t="n">
        <v>23</v>
      </c>
      <c r="N24" s="3" t="n"/>
      <c r="P24" t="n">
        <v>23</v>
      </c>
      <c r="Q24" s="3" t="n"/>
      <c r="S24" t="n">
        <v>23</v>
      </c>
      <c r="T24" s="3" t="n"/>
      <c r="V24" t="n">
        <v>23</v>
      </c>
      <c r="W24" s="3" t="n"/>
      <c r="Y24" t="n">
        <v>23</v>
      </c>
      <c r="Z24" s="3" t="n"/>
      <c r="AB24" t="n">
        <v>23</v>
      </c>
      <c r="AC24" s="3" t="n"/>
      <c r="AE24" t="n">
        <v>23</v>
      </c>
      <c r="AF24" s="3" t="n"/>
      <c r="AH24" t="n">
        <v>23</v>
      </c>
      <c r="AI24" s="3" t="n"/>
    </row>
    <row r="25">
      <c r="A25" t="n">
        <v>24</v>
      </c>
      <c r="D25" t="n">
        <v>24</v>
      </c>
      <c r="E25" s="3" t="n"/>
      <c r="G25" t="n">
        <v>24</v>
      </c>
      <c r="H25" s="3" t="n"/>
      <c r="J25" t="n">
        <v>24</v>
      </c>
      <c r="K25" s="3" t="n"/>
      <c r="M25" t="n">
        <v>24</v>
      </c>
      <c r="N25" s="3" t="n"/>
      <c r="P25" t="n">
        <v>24</v>
      </c>
      <c r="Q25" s="3" t="n"/>
      <c r="S25" t="n">
        <v>24</v>
      </c>
      <c r="T25" s="3" t="n"/>
      <c r="V25" t="n">
        <v>24</v>
      </c>
      <c r="W25" s="3" t="n"/>
      <c r="Y25" t="n">
        <v>24</v>
      </c>
      <c r="Z25" s="3" t="n"/>
      <c r="AB25" t="n">
        <v>24</v>
      </c>
      <c r="AC25" s="3" t="n"/>
      <c r="AE25" t="n">
        <v>24</v>
      </c>
      <c r="AF25" s="3" t="n"/>
      <c r="AH25" t="n">
        <v>24</v>
      </c>
      <c r="AI25" s="3" t="n"/>
    </row>
    <row r="26">
      <c r="A26" t="n">
        <v>25</v>
      </c>
      <c r="D26" t="n">
        <v>25</v>
      </c>
      <c r="E26" s="3" t="n"/>
      <c r="G26" t="n">
        <v>25</v>
      </c>
      <c r="H26" s="3" t="n"/>
      <c r="J26" t="n">
        <v>25</v>
      </c>
      <c r="K26" s="3" t="n"/>
      <c r="M26" t="n">
        <v>25</v>
      </c>
      <c r="N26" s="3" t="n"/>
      <c r="P26" t="n">
        <v>25</v>
      </c>
      <c r="Q26" s="3" t="n"/>
      <c r="S26" t="n">
        <v>25</v>
      </c>
      <c r="T26" s="3" t="n"/>
      <c r="V26" t="n">
        <v>25</v>
      </c>
      <c r="W26" s="3" t="n"/>
      <c r="Y26" t="n">
        <v>25</v>
      </c>
      <c r="Z26" s="3" t="n"/>
      <c r="AB26" t="n">
        <v>25</v>
      </c>
      <c r="AC26" s="3" t="n"/>
      <c r="AE26" t="n">
        <v>25</v>
      </c>
      <c r="AF26" s="3" t="n"/>
      <c r="AH26" t="n">
        <v>25</v>
      </c>
      <c r="AI26" s="3" t="n"/>
    </row>
    <row r="27">
      <c r="A27" t="n">
        <v>26</v>
      </c>
      <c r="B27" s="3" t="n">
        <v>540</v>
      </c>
      <c r="D27" t="n">
        <v>26</v>
      </c>
      <c r="E27" s="3" t="n"/>
      <c r="G27" t="n">
        <v>26</v>
      </c>
      <c r="H27" s="3" t="n"/>
      <c r="J27" t="n">
        <v>26</v>
      </c>
      <c r="K27" s="3" t="n"/>
      <c r="M27" t="n">
        <v>26</v>
      </c>
      <c r="N27" s="3" t="n"/>
      <c r="P27" t="n">
        <v>26</v>
      </c>
      <c r="Q27" s="3" t="n"/>
      <c r="S27" t="n">
        <v>26</v>
      </c>
      <c r="T27" s="3" t="n"/>
      <c r="V27" t="n">
        <v>26</v>
      </c>
      <c r="W27" s="3" t="n"/>
      <c r="Y27" t="n">
        <v>26</v>
      </c>
      <c r="Z27" s="3" t="n"/>
      <c r="AB27" t="n">
        <v>26</v>
      </c>
      <c r="AC27" s="3" t="n"/>
      <c r="AE27" t="n">
        <v>26</v>
      </c>
      <c r="AF27" s="3" t="n"/>
      <c r="AH27" t="n">
        <v>26</v>
      </c>
      <c r="AI27" s="3" t="n"/>
    </row>
    <row r="28">
      <c r="A28" t="n">
        <v>27</v>
      </c>
      <c r="D28" t="n">
        <v>27</v>
      </c>
      <c r="E28" s="3" t="n"/>
      <c r="G28" t="n">
        <v>27</v>
      </c>
      <c r="H28" s="3" t="n"/>
      <c r="J28" t="n">
        <v>27</v>
      </c>
      <c r="K28" s="3" t="n"/>
      <c r="M28" t="n">
        <v>27</v>
      </c>
      <c r="N28" s="3" t="n"/>
      <c r="P28" t="n">
        <v>27</v>
      </c>
      <c r="Q28" s="3" t="n"/>
      <c r="S28" t="n">
        <v>27</v>
      </c>
      <c r="T28" s="3" t="n"/>
      <c r="V28" t="n">
        <v>27</v>
      </c>
      <c r="W28" s="3" t="n"/>
      <c r="Y28" t="n">
        <v>27</v>
      </c>
      <c r="Z28" s="3" t="n"/>
      <c r="AB28" t="n">
        <v>27</v>
      </c>
      <c r="AC28" s="3" t="n"/>
      <c r="AE28" t="n">
        <v>27</v>
      </c>
      <c r="AF28" s="3" t="n"/>
      <c r="AH28" t="n">
        <v>27</v>
      </c>
      <c r="AI28" s="3" t="n"/>
    </row>
    <row r="29">
      <c r="A29" t="n">
        <v>28</v>
      </c>
      <c r="D29" t="n">
        <v>28</v>
      </c>
      <c r="E29" s="3" t="n"/>
      <c r="G29" t="n">
        <v>28</v>
      </c>
      <c r="H29" s="3" t="n"/>
      <c r="J29" t="n">
        <v>28</v>
      </c>
      <c r="K29" s="3" t="n"/>
      <c r="M29" t="n">
        <v>28</v>
      </c>
      <c r="N29" s="3" t="n"/>
      <c r="P29" t="n">
        <v>28</v>
      </c>
      <c r="Q29" s="3" t="n"/>
      <c r="S29" t="n">
        <v>28</v>
      </c>
      <c r="T29" s="3" t="n"/>
      <c r="V29" t="n">
        <v>28</v>
      </c>
      <c r="W29" s="3" t="n"/>
      <c r="Y29" t="n">
        <v>28</v>
      </c>
      <c r="Z29" s="3" t="n"/>
      <c r="AB29" t="n">
        <v>28</v>
      </c>
      <c r="AC29" s="3" t="n"/>
      <c r="AE29" t="n">
        <v>28</v>
      </c>
      <c r="AF29" s="3" t="n"/>
      <c r="AH29" t="n">
        <v>28</v>
      </c>
      <c r="AI29" s="3" t="n"/>
    </row>
    <row r="30">
      <c r="A30" t="n">
        <v>29</v>
      </c>
      <c r="D30" t="n">
        <v>29</v>
      </c>
      <c r="E30" s="3" t="n"/>
      <c r="G30" t="n">
        <v>29</v>
      </c>
      <c r="H30" s="3" t="n"/>
      <c r="J30" t="n">
        <v>29</v>
      </c>
      <c r="K30" s="3" t="n"/>
      <c r="M30" t="n">
        <v>29</v>
      </c>
      <c r="N30" s="3" t="n"/>
      <c r="P30" t="n">
        <v>29</v>
      </c>
      <c r="Q30" s="3" t="n"/>
      <c r="S30" t="n">
        <v>29</v>
      </c>
      <c r="T30" s="3" t="n"/>
      <c r="V30" t="n">
        <v>29</v>
      </c>
      <c r="W30" s="3" t="n"/>
      <c r="Y30" t="n">
        <v>29</v>
      </c>
      <c r="Z30" s="3" t="n"/>
      <c r="AB30" t="n">
        <v>29</v>
      </c>
      <c r="AC30" s="3" t="n"/>
      <c r="AE30" t="n">
        <v>29</v>
      </c>
      <c r="AF30" s="3" t="n"/>
      <c r="AH30" t="n">
        <v>29</v>
      </c>
      <c r="AI30" s="3" t="n"/>
    </row>
    <row r="31">
      <c r="A31" t="n">
        <v>30</v>
      </c>
      <c r="D31" t="n">
        <v>30</v>
      </c>
      <c r="E31" s="3" t="n"/>
      <c r="G31" t="n">
        <v>30</v>
      </c>
      <c r="H31" s="3" t="n">
        <v>-2780</v>
      </c>
      <c r="J31" t="n">
        <v>30</v>
      </c>
      <c r="K31" s="3" t="n"/>
      <c r="M31" t="n">
        <v>30</v>
      </c>
      <c r="N31" s="3" t="n"/>
      <c r="P31" t="n">
        <v>30</v>
      </c>
      <c r="S31" t="n">
        <v>30</v>
      </c>
      <c r="V31" t="n">
        <v>30</v>
      </c>
      <c r="Y31" t="n">
        <v>30</v>
      </c>
      <c r="AB31" t="n">
        <v>30</v>
      </c>
      <c r="AC31" s="3" t="n"/>
      <c r="AE31" t="n">
        <v>30</v>
      </c>
      <c r="AF31" s="3" t="n"/>
      <c r="AH31" t="n">
        <v>30</v>
      </c>
      <c r="AI31" s="3" t="n"/>
    </row>
    <row r="32">
      <c r="A32" t="n">
        <v>31</v>
      </c>
      <c r="D32" t="n">
        <v>31</v>
      </c>
      <c r="E32" s="3" t="n"/>
      <c r="G32" t="n">
        <v>31</v>
      </c>
      <c r="H32" s="3" t="n"/>
      <c r="J32" t="n">
        <v>31</v>
      </c>
      <c r="K32" s="3" t="n"/>
      <c r="M32" t="n">
        <v>31</v>
      </c>
      <c r="N32" s="3" t="n"/>
      <c r="P32" t="n">
        <v>31</v>
      </c>
      <c r="S32" t="n">
        <v>31</v>
      </c>
      <c r="V32" t="n">
        <v>31</v>
      </c>
      <c r="Y32" t="n">
        <v>31</v>
      </c>
      <c r="AB32" t="n">
        <v>31</v>
      </c>
      <c r="AC32" s="3" t="n"/>
      <c r="AE32" t="n">
        <v>31</v>
      </c>
      <c r="AF32" s="3" t="n"/>
      <c r="AH32" t="n">
        <v>31</v>
      </c>
      <c r="AI32" s="3" t="n"/>
    </row>
    <row r="33">
      <c r="E33" s="3" t="n"/>
      <c r="H33" s="3" t="n"/>
    </row>
    <row r="34">
      <c r="E34" s="3" t="n"/>
      <c r="H34" s="3" t="n"/>
    </row>
    <row r="35">
      <c r="A35" t="inlineStr">
        <is>
          <t>Total</t>
        </is>
      </c>
      <c r="B35" s="3">
        <f>SUM(B2:B34)</f>
        <v/>
      </c>
      <c r="E35" s="3">
        <f>SUM(E2:E27)</f>
        <v/>
      </c>
      <c r="H35" s="3">
        <f>SUM(H2:H34)</f>
        <v/>
      </c>
      <c r="K35" s="3">
        <f>SUM(K2:K34)</f>
        <v/>
      </c>
      <c r="N35" s="3">
        <f>SUM(N2:N34)</f>
        <v/>
      </c>
      <c r="Q35" s="3">
        <f>SUM(Q2:Q34)</f>
        <v/>
      </c>
      <c r="T35" s="3">
        <f>SUM(T2:T34)</f>
        <v/>
      </c>
      <c r="W35" s="3">
        <f>SUM(W2:W34)</f>
        <v/>
      </c>
      <c r="Z35" s="3">
        <f>SUM(Z2:Z34)</f>
        <v/>
      </c>
      <c r="AC35" s="3">
        <f>SUM(AC2:AC34)</f>
        <v/>
      </c>
      <c r="AF35" s="3">
        <f>SUM(AF2:AF34)</f>
        <v/>
      </c>
      <c r="AI35" s="3">
        <f>SUM(AI2:AI34)</f>
        <v/>
      </c>
    </row>
  </sheetData>
  <mergeCells count="3">
    <mergeCell ref="D1:E1"/>
    <mergeCell ref="G1:H1"/>
    <mergeCell ref="A1:B1"/>
  </mergeCells>
  <conditionalFormatting sqref="B2:B32">
    <cfRule type="cellIs" priority="43" operator="lessThan" dxfId="1">
      <formula>0</formula>
    </cfRule>
    <cfRule type="cellIs" priority="44" operator="greaterThan" dxfId="0">
      <formula>0</formula>
    </cfRule>
  </conditionalFormatting>
  <conditionalFormatting sqref="B35">
    <cfRule type="cellIs" priority="42" operator="greaterThan" dxfId="0">
      <formula>0</formula>
    </cfRule>
    <cfRule type="cellIs" priority="41" operator="lessThan" dxfId="1">
      <formula>0</formula>
    </cfRule>
  </conditionalFormatting>
  <conditionalFormatting sqref="E2:E35">
    <cfRule type="cellIs" priority="39" operator="lessThan" dxfId="1">
      <formula>0</formula>
    </cfRule>
    <cfRule type="cellIs" priority="40" operator="greaterThan" dxfId="0">
      <formula>0</formula>
    </cfRule>
  </conditionalFormatting>
  <conditionalFormatting sqref="H2:H35">
    <cfRule type="cellIs" priority="34" operator="greaterThan" dxfId="0">
      <formula>0</formula>
    </cfRule>
    <cfRule type="cellIs" priority="33" operator="lessThan" dxfId="1">
      <formula>0</formula>
    </cfRule>
  </conditionalFormatting>
  <conditionalFormatting sqref="K2:K32">
    <cfRule type="cellIs" priority="38" operator="greaterThan" dxfId="0">
      <formula>0</formula>
    </cfRule>
    <cfRule type="cellIs" priority="37" operator="lessThan" dxfId="1">
      <formula>0</formula>
    </cfRule>
  </conditionalFormatting>
  <conditionalFormatting sqref="K35">
    <cfRule type="cellIs" priority="36" operator="greaterThan" dxfId="0">
      <formula>0</formula>
    </cfRule>
    <cfRule type="cellIs" priority="35" operator="lessThan" dxfId="1">
      <formula>0</formula>
    </cfRule>
  </conditionalFormatting>
  <conditionalFormatting sqref="N2:N32">
    <cfRule type="cellIs" priority="32" operator="greaterThan" dxfId="0">
      <formula>0</formula>
    </cfRule>
    <cfRule type="cellIs" priority="31" operator="lessThan" dxfId="1">
      <formula>0</formula>
    </cfRule>
  </conditionalFormatting>
  <conditionalFormatting sqref="N35">
    <cfRule type="cellIs" priority="30" operator="greaterThan" dxfId="0">
      <formula>0</formula>
    </cfRule>
    <cfRule type="cellIs" priority="29" operator="lessThan" dxfId="1">
      <formula>0</formula>
    </cfRule>
  </conditionalFormatting>
  <conditionalFormatting sqref="Q2:Q30">
    <cfRule type="cellIs" priority="28" operator="greaterThan" dxfId="0">
      <formula>0</formula>
    </cfRule>
    <cfRule type="cellIs" priority="27" operator="lessThan" dxfId="1">
      <formula>0</formula>
    </cfRule>
  </conditionalFormatting>
  <conditionalFormatting sqref="Q35">
    <cfRule type="cellIs" priority="26" operator="greaterThan" dxfId="0">
      <formula>0</formula>
    </cfRule>
    <cfRule type="cellIs" priority="25" operator="lessThan" dxfId="1">
      <formula>0</formula>
    </cfRule>
  </conditionalFormatting>
  <conditionalFormatting sqref="T2:T30">
    <cfRule type="cellIs" priority="23" operator="lessThan" dxfId="1">
      <formula>0</formula>
    </cfRule>
    <cfRule type="cellIs" priority="24" operator="greaterThan" dxfId="0">
      <formula>0</formula>
    </cfRule>
  </conditionalFormatting>
  <conditionalFormatting sqref="T35">
    <cfRule type="cellIs" priority="22" operator="greaterThan" dxfId="0">
      <formula>0</formula>
    </cfRule>
    <cfRule type="cellIs" priority="21" operator="lessThan" dxfId="1">
      <formula>0</formula>
    </cfRule>
  </conditionalFormatting>
  <conditionalFormatting sqref="W2:W30">
    <cfRule type="cellIs" priority="20" operator="greaterThan" dxfId="0">
      <formula>0</formula>
    </cfRule>
    <cfRule type="cellIs" priority="19" operator="lessThan" dxfId="1">
      <formula>0</formula>
    </cfRule>
  </conditionalFormatting>
  <conditionalFormatting sqref="W35">
    <cfRule type="cellIs" priority="18" operator="greaterThan" dxfId="0">
      <formula>0</formula>
    </cfRule>
    <cfRule type="cellIs" priority="17" operator="lessThan" dxfId="1">
      <formula>0</formula>
    </cfRule>
  </conditionalFormatting>
  <conditionalFormatting sqref="Z2:Z30">
    <cfRule type="cellIs" priority="16" operator="greaterThan" dxfId="0">
      <formula>0</formula>
    </cfRule>
    <cfRule type="cellIs" priority="15" operator="lessThan" dxfId="1">
      <formula>0</formula>
    </cfRule>
  </conditionalFormatting>
  <conditionalFormatting sqref="Z35">
    <cfRule type="cellIs" priority="14" operator="greaterThan" dxfId="0">
      <formula>0</formula>
    </cfRule>
    <cfRule type="cellIs" priority="13" operator="lessThan" dxfId="1">
      <formula>0</formula>
    </cfRule>
  </conditionalFormatting>
  <conditionalFormatting sqref="AC2:AC32">
    <cfRule type="cellIs" priority="11" operator="lessThan" dxfId="1">
      <formula>0</formula>
    </cfRule>
    <cfRule type="cellIs" priority="12" operator="greaterThan" dxfId="0">
      <formula>0</formula>
    </cfRule>
  </conditionalFormatting>
  <conditionalFormatting sqref="AC35">
    <cfRule type="cellIs" priority="10" operator="greaterThan" dxfId="0">
      <formula>0</formula>
    </cfRule>
    <cfRule type="cellIs" priority="9" operator="lessThan" dxfId="1">
      <formula>0</formula>
    </cfRule>
  </conditionalFormatting>
  <conditionalFormatting sqref="AF2:AF32">
    <cfRule type="cellIs" priority="8" operator="greaterThan" dxfId="0">
      <formula>0</formula>
    </cfRule>
    <cfRule type="cellIs" priority="7" operator="lessThan" dxfId="1">
      <formula>0</formula>
    </cfRule>
  </conditionalFormatting>
  <conditionalFormatting sqref="AF35">
    <cfRule type="cellIs" priority="6" operator="greaterThan" dxfId="0">
      <formula>0</formula>
    </cfRule>
    <cfRule type="cellIs" priority="5" operator="lessThan" dxfId="1">
      <formula>0</formula>
    </cfRule>
  </conditionalFormatting>
  <conditionalFormatting sqref="AI2:AI32">
    <cfRule type="cellIs" priority="4" operator="greaterThan" dxfId="0">
      <formula>0</formula>
    </cfRule>
    <cfRule type="cellIs" priority="3" operator="lessThan" dxfId="1">
      <formula>0</formula>
    </cfRule>
  </conditionalFormatting>
  <conditionalFormatting sqref="AI35">
    <cfRule type="cellIs" priority="2" operator="greaterThan" dxfId="0">
      <formula>0</formula>
    </cfRule>
    <cfRule type="cellIs" priority="1" operator="lessThan" dxfId="1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selection activeCell="K6" sqref="K6"/>
    </sheetView>
  </sheetViews>
  <sheetFormatPr baseColWidth="8" defaultRowHeight="15"/>
  <cols>
    <col width="18.42578125" customWidth="1" min="1" max="1"/>
    <col width="15.42578125" customWidth="1" style="3" min="2" max="2"/>
    <col width="11.5703125" customWidth="1" min="4" max="4"/>
    <col width="12.5703125" customWidth="1" min="5" max="5"/>
    <col width="10.42578125" bestFit="1" customWidth="1" min="7" max="7"/>
    <col width="10.85546875" bestFit="1" customWidth="1" min="8" max="8"/>
    <col width="10.42578125" bestFit="1" customWidth="1" min="10" max="10"/>
    <col width="9.85546875" bestFit="1" customWidth="1" min="11" max="11"/>
    <col width="10.42578125" bestFit="1" customWidth="1" min="13" max="13"/>
    <col width="10.85546875" bestFit="1" customWidth="1" min="14" max="14"/>
    <col width="10.42578125" bestFit="1" customWidth="1" min="16" max="16"/>
    <col width="10.85546875" bestFit="1" customWidth="1" min="17" max="17"/>
    <col width="10.85546875" bestFit="1" customWidth="1" min="20" max="20"/>
    <col width="10.85546875" bestFit="1" customWidth="1" min="23" max="23"/>
    <col width="10.85546875" bestFit="1" customWidth="1" min="26" max="26"/>
    <col width="10.85546875" bestFit="1" customWidth="1" min="29" max="29"/>
    <col width="10.85546875" bestFit="1" customWidth="1" min="32" max="32"/>
    <col width="11.140625" bestFit="1" customWidth="1" min="35" max="35"/>
  </cols>
  <sheetData>
    <row r="1" customFormat="1" s="2">
      <c r="A1" s="9" t="inlineStr">
        <is>
          <t>January</t>
        </is>
      </c>
      <c r="D1" s="9" t="inlineStr">
        <is>
          <t>February</t>
        </is>
      </c>
      <c r="G1" s="9" t="inlineStr">
        <is>
          <t>Mar</t>
        </is>
      </c>
      <c r="J1" s="2" t="inlineStr">
        <is>
          <t>April</t>
        </is>
      </c>
      <c r="M1" s="2" t="inlineStr">
        <is>
          <t>May</t>
        </is>
      </c>
      <c r="P1" s="2" t="inlineStr">
        <is>
          <t>Jun</t>
        </is>
      </c>
      <c r="S1" s="2" t="inlineStr">
        <is>
          <t>Jul</t>
        </is>
      </c>
      <c r="V1" s="2" t="inlineStr">
        <is>
          <t>Aug</t>
        </is>
      </c>
      <c r="Y1" s="2" t="inlineStr">
        <is>
          <t>Sep</t>
        </is>
      </c>
      <c r="AB1" s="2" t="inlineStr">
        <is>
          <t>Oct</t>
        </is>
      </c>
      <c r="AE1" s="2" t="inlineStr">
        <is>
          <t>Nov</t>
        </is>
      </c>
      <c r="AH1" s="2" t="inlineStr">
        <is>
          <t>Dec</t>
        </is>
      </c>
    </row>
    <row r="2">
      <c r="A2" t="n">
        <v>1</v>
      </c>
      <c r="D2" t="n">
        <v>1</v>
      </c>
      <c r="E2" s="3" t="n"/>
      <c r="G2" t="n">
        <v>1</v>
      </c>
      <c r="H2" s="3" t="n"/>
      <c r="J2" t="n">
        <v>1</v>
      </c>
      <c r="K2" s="3" t="n"/>
      <c r="M2" t="n">
        <v>1</v>
      </c>
      <c r="N2" s="3">
        <f>'BIC $6 $4'!N2+'BIC $4 '!N2+'BIC $3'!N2+'BIC 1 DTE'!N2</f>
        <v/>
      </c>
      <c r="P2" t="n">
        <v>1</v>
      </c>
      <c r="Q2" s="3">
        <f>'BIC $6 $4'!Q2+'BIC $4 '!Q2+'BIC $3'!Q2+'BIC 1 DTE'!Q2</f>
        <v/>
      </c>
      <c r="S2" t="n">
        <v>1</v>
      </c>
      <c r="T2" s="3">
        <f>'BIC $6 $4'!T2+'BIC $4 '!T2+'BIC $3'!T2+'BIC 1 DTE'!T2</f>
        <v/>
      </c>
      <c r="V2" t="n">
        <v>1</v>
      </c>
      <c r="W2" s="3">
        <f>'BIC $6 $4'!W2+'BIC $4 '!W2+'BIC $3'!W2+'BIC 1 DTE'!W2</f>
        <v/>
      </c>
      <c r="Y2" t="n">
        <v>1</v>
      </c>
      <c r="Z2" s="3" t="n"/>
      <c r="AB2" t="n">
        <v>1</v>
      </c>
      <c r="AC2" s="3">
        <f>'BIC $6 $4'!AC2+'BIC $4 '!AC2+'BIC $3'!AC2+'BIC 1 DTE'!AC2</f>
        <v/>
      </c>
      <c r="AE2" t="n">
        <v>1</v>
      </c>
      <c r="AF2" s="3" t="n"/>
      <c r="AH2" t="n">
        <v>1</v>
      </c>
      <c r="AI2" s="3">
        <f>'BIC $6 $4'!AI2+'BIC $4 '!AI2+'BIC $3'!AI2+'BIC 1 DTE'!AI2</f>
        <v/>
      </c>
    </row>
    <row r="3">
      <c r="A3" t="n">
        <v>2</v>
      </c>
      <c r="B3" s="3">
        <f>'BIC $6 $4'!B3+'BIC $4 '!B3+'BIC $3'!B3+'BIC 1 DTE'!B3</f>
        <v/>
      </c>
      <c r="D3" t="n">
        <v>2</v>
      </c>
      <c r="E3" s="3">
        <f>'BIC $6 $4'!E3+'BIC $4 '!E3+'BIC $3'!E3+'BIC 1 DTE'!E3</f>
        <v/>
      </c>
      <c r="G3" t="n">
        <v>2</v>
      </c>
      <c r="H3" s="3">
        <f>'BIC $6 $4'!H3+'BIC $4 '!H3+'BIC $3'!H3+'BIC 1 DTE'!H3+'BIC Standard'!H3</f>
        <v/>
      </c>
      <c r="J3" t="n">
        <v>2</v>
      </c>
      <c r="K3" s="3" t="n"/>
      <c r="M3" t="n">
        <v>2</v>
      </c>
      <c r="N3" s="3">
        <f>'BIC $6 $4'!N3+'BIC $4 '!N3+'BIC $3'!N3+'BIC 1 DTE'!N3</f>
        <v/>
      </c>
      <c r="P3" t="n">
        <v>2</v>
      </c>
      <c r="Q3" s="3">
        <f>'BIC $6 $4'!Q3+'BIC $4 '!Q3+'BIC $3'!Q3+'BIC 1 DTE'!Q3</f>
        <v/>
      </c>
      <c r="S3" t="n">
        <v>2</v>
      </c>
      <c r="T3" s="3">
        <f>'BIC $6 $4'!T3+'BIC $4 '!T3+'BIC $3'!T3+'BIC 1 DTE'!T3</f>
        <v/>
      </c>
      <c r="V3" t="n">
        <v>2</v>
      </c>
      <c r="W3" s="3">
        <f>'BIC $6 $4'!W3+'BIC $4 '!W3+'BIC $3'!W3+'BIC 1 DTE'!W3</f>
        <v/>
      </c>
      <c r="Y3" t="n">
        <v>2</v>
      </c>
      <c r="Z3" s="3">
        <f>'BIC $6 $4'!Z3+'BIC $4 '!Z3+'BIC $3'!Z3+'BIC 1 DTE'!Z3</f>
        <v/>
      </c>
      <c r="AB3" t="n">
        <v>2</v>
      </c>
      <c r="AC3" s="3">
        <f>'BIC $6 $4'!AC3+'BIC $4 '!AC3+'BIC $3'!AC3+'BIC 1 DTE'!AC3</f>
        <v/>
      </c>
      <c r="AE3" t="n">
        <v>2</v>
      </c>
      <c r="AF3" s="3" t="n"/>
      <c r="AH3" t="n">
        <v>2</v>
      </c>
      <c r="AI3" s="3">
        <f>'BIC $6 $4'!AI3+'BIC $4 '!AI3+'BIC $3'!AI3+'BIC 1 DTE'!AI3</f>
        <v/>
      </c>
    </row>
    <row r="4">
      <c r="A4" t="n">
        <v>3</v>
      </c>
      <c r="D4" t="n">
        <v>3</v>
      </c>
      <c r="E4" s="3">
        <f>'BIC $6 $4'!E4+'BIC $4 '!E4+'BIC $3'!E4+'BIC 1 DTE'!E4</f>
        <v/>
      </c>
      <c r="G4" t="n">
        <v>3</v>
      </c>
      <c r="H4" s="3">
        <f>'BIC $6 $4'!H4+'BIC $4 '!H4+'BIC $3'!H4+'BIC 1 DTE'!H4+'BIC Standard'!H4</f>
        <v/>
      </c>
      <c r="J4" t="n">
        <v>3</v>
      </c>
      <c r="K4" s="3" t="n"/>
      <c r="M4" t="n">
        <v>3</v>
      </c>
      <c r="N4" s="3" t="n"/>
      <c r="P4" t="n">
        <v>3</v>
      </c>
      <c r="Q4" s="3">
        <f>'BIC $6 $4'!Q4+'BIC $4 '!Q4+'BIC $3'!Q4+'BIC 1 DTE'!Q4</f>
        <v/>
      </c>
      <c r="S4" t="n">
        <v>3</v>
      </c>
      <c r="T4" s="3">
        <f>'BIC $6 $4'!T4+'BIC $4 '!T4+'BIC $3'!T4+'BIC 1 DTE'!T4</f>
        <v/>
      </c>
      <c r="V4" t="n">
        <v>3</v>
      </c>
      <c r="W4" s="3" t="n"/>
      <c r="Y4" t="n">
        <v>3</v>
      </c>
      <c r="Z4" s="3">
        <f>'BIC $6 $4'!Z4+'BIC $4 '!Z4+'BIC $3'!Z4+'BIC 1 DTE'!Z4</f>
        <v/>
      </c>
      <c r="AB4" t="n">
        <v>3</v>
      </c>
      <c r="AC4" s="3">
        <f>'BIC $6 $4'!AC4+'BIC $4 '!AC4+'BIC $3'!AC4+'BIC 1 DTE'!AC4</f>
        <v/>
      </c>
      <c r="AE4" t="n">
        <v>3</v>
      </c>
      <c r="AF4" s="3">
        <f>'BIC $6 $4'!AF4+'BIC $4 '!AF4+'BIC $3'!AF4+'BIC 1 DTE'!AF4</f>
        <v/>
      </c>
      <c r="AH4" t="n">
        <v>3</v>
      </c>
      <c r="AI4" s="3">
        <f>'BIC $6 $4'!AI4+'BIC $4 '!AI4+'BIC $3'!AI4+'BIC 1 DTE'!AI4</f>
        <v/>
      </c>
    </row>
    <row r="5">
      <c r="A5" t="n">
        <v>4</v>
      </c>
      <c r="D5" t="n">
        <v>4</v>
      </c>
      <c r="E5" s="3">
        <f>'BIC $6 $4'!E5+'BIC $4 '!E5+'BIC $3'!E5+'BIC 1 DTE'!E5</f>
        <v/>
      </c>
      <c r="G5" t="n">
        <v>4</v>
      </c>
      <c r="H5" s="3">
        <f>'BIC $6 $4'!H5+'BIC $4 '!H5+'BIC $3'!H5+'BIC 1 DTE'!H5+'BIC Standard'!H5</f>
        <v/>
      </c>
      <c r="J5" t="n">
        <v>4</v>
      </c>
      <c r="K5" s="3" t="n"/>
      <c r="M5" t="n">
        <v>4</v>
      </c>
      <c r="N5" s="3" t="n"/>
      <c r="P5" t="n">
        <v>4</v>
      </c>
      <c r="Q5" s="3">
        <f>'BIC $6 $4'!Q5+'BIC $4 '!Q5+'BIC $3'!Q5+'BIC 1 DTE'!Q5</f>
        <v/>
      </c>
      <c r="S5" t="n">
        <v>4</v>
      </c>
      <c r="T5" s="3" t="n"/>
      <c r="V5" t="n">
        <v>4</v>
      </c>
      <c r="W5" s="3" t="n"/>
      <c r="Y5" t="n">
        <v>4</v>
      </c>
      <c r="Z5" s="3">
        <f>'BIC $6 $4'!Z5+'BIC $4 '!Z5+'BIC $3'!Z5+'BIC 1 DTE'!Z5</f>
        <v/>
      </c>
      <c r="AB5" t="n">
        <v>4</v>
      </c>
      <c r="AE5" t="n">
        <v>4</v>
      </c>
      <c r="AF5" s="3">
        <f>'BIC $6 $4'!AF5+'BIC $4 '!AF5+'BIC $3'!AF5+'BIC 1 DTE'!AF5</f>
        <v/>
      </c>
      <c r="AH5" t="n">
        <v>4</v>
      </c>
      <c r="AI5" s="3">
        <f>'BIC $6 $4'!AI5+'BIC $4 '!AI5+'BIC $3'!AI5+'BIC 1 DTE'!AI5</f>
        <v/>
      </c>
    </row>
    <row r="6">
      <c r="A6" t="n">
        <v>5</v>
      </c>
      <c r="B6" s="3">
        <f>'BIC $6 $4'!B6+'BIC $4 '!B6+'BIC $3'!B6+'BIC 1 DTE'!B6</f>
        <v/>
      </c>
      <c r="D6" t="n">
        <v>5</v>
      </c>
      <c r="E6" s="3" t="n"/>
      <c r="G6" t="n">
        <v>5</v>
      </c>
      <c r="H6" s="3">
        <f>'BIC $6 $4'!H6+'BIC $4 '!H6+'BIC $3'!H6+'BIC 1 DTE'!H6+'BIC Standard'!H6</f>
        <v/>
      </c>
      <c r="J6" t="n">
        <v>5</v>
      </c>
      <c r="K6" s="3" t="n"/>
      <c r="M6" t="n">
        <v>5</v>
      </c>
      <c r="N6" s="3">
        <f>'BIC $6 $4'!N6+'BIC $4 '!N6+'BIC $3'!N6+'BIC 1 DTE'!N6</f>
        <v/>
      </c>
      <c r="P6" t="n">
        <v>5</v>
      </c>
      <c r="Q6" s="3">
        <f>'BIC $6 $4'!Q6+'BIC $4 '!Q6+'BIC $3'!Q6+'BIC 1 DTE'!Q6</f>
        <v/>
      </c>
      <c r="S6" t="n">
        <v>5</v>
      </c>
      <c r="T6" s="3" t="n"/>
      <c r="V6" t="n">
        <v>5</v>
      </c>
      <c r="W6" s="3">
        <f>'BIC $6 $4'!W6+'BIC $4 '!W6+'BIC $3'!W6+'BIC 1 DTE'!W6</f>
        <v/>
      </c>
      <c r="Y6" t="n">
        <v>5</v>
      </c>
      <c r="Z6" s="3">
        <f>'BIC $6 $4'!Z6+'BIC $4 '!Z6+'BIC $3'!Z6+'BIC 1 DTE'!Z6</f>
        <v/>
      </c>
      <c r="AB6" t="n">
        <v>5</v>
      </c>
      <c r="AC6" s="3" t="n"/>
      <c r="AE6" t="n">
        <v>5</v>
      </c>
      <c r="AF6" s="3">
        <f>'BIC $6 $4'!AF6+'BIC $4 '!AF6+'BIC $3'!AF6+'BIC 1 DTE'!AF6</f>
        <v/>
      </c>
      <c r="AH6" t="n">
        <v>5</v>
      </c>
      <c r="AI6" s="3">
        <f>'BIC $6 $4'!AI6+'BIC $4 '!AI6+'BIC $3'!AI6+'BIC 1 DTE'!AI6</f>
        <v/>
      </c>
    </row>
    <row r="7">
      <c r="A7" t="n">
        <v>6</v>
      </c>
      <c r="B7" s="3">
        <f>'BIC $6 $4'!B7+'BIC $4 '!B7+'BIC $3'!B7+'BIC 1 DTE'!B7</f>
        <v/>
      </c>
      <c r="D7" t="n">
        <v>6</v>
      </c>
      <c r="E7" s="3">
        <f>'BIC $6 $4'!E7+'BIC $4 '!E7+'BIC $3'!E7+'BIC 1 DTE'!E7</f>
        <v/>
      </c>
      <c r="G7" t="n">
        <v>6</v>
      </c>
      <c r="H7" s="3">
        <f>'BIC $6 $4'!H7+'BIC $4 '!H7+'BIC $3'!H7+'BIC 1 DTE'!H7+'BIC Standard'!H7</f>
        <v/>
      </c>
      <c r="J7" t="n">
        <v>6</v>
      </c>
      <c r="K7" s="3" t="n"/>
      <c r="M7" t="n">
        <v>6</v>
      </c>
      <c r="N7" s="3">
        <f>'BIC $6 $4'!N7+'BIC $4 '!N7+'BIC $3'!N7+'BIC 1 DTE'!N7</f>
        <v/>
      </c>
      <c r="P7" t="n">
        <v>6</v>
      </c>
      <c r="Q7" s="3" t="n"/>
      <c r="S7" t="n">
        <v>6</v>
      </c>
      <c r="T7" s="3" t="n"/>
      <c r="V7" t="n">
        <v>6</v>
      </c>
      <c r="W7" s="3">
        <f>'BIC $6 $4'!W7+'BIC $4 '!W7+'BIC $3'!W7+'BIC 1 DTE'!W7</f>
        <v/>
      </c>
      <c r="Y7" t="n">
        <v>6</v>
      </c>
      <c r="Z7" s="3" t="n"/>
      <c r="AB7" t="n">
        <v>6</v>
      </c>
      <c r="AC7" s="3">
        <f>'BIC $6 $4'!AC7+'BIC $4 '!AC7+'BIC $3'!AC7+'BIC 1 DTE'!AC7</f>
        <v/>
      </c>
      <c r="AE7" t="n">
        <v>6</v>
      </c>
      <c r="AF7" s="3">
        <f>'BIC $6 $4'!AF7+'BIC $4 '!AF7+'BIC $3'!AF7+'BIC 1 DTE'!AF7</f>
        <v/>
      </c>
      <c r="AH7" t="n">
        <v>6</v>
      </c>
      <c r="AI7" s="3" t="n"/>
    </row>
    <row r="8">
      <c r="A8" t="n">
        <v>7</v>
      </c>
      <c r="B8" s="3">
        <f>'BIC $6 $4'!B8+'BIC $4 '!B8+'BIC $3'!B8+'BIC 1 DTE'!B8</f>
        <v/>
      </c>
      <c r="D8" t="n">
        <v>7</v>
      </c>
      <c r="E8" s="3" t="n"/>
      <c r="G8" t="n">
        <v>7</v>
      </c>
      <c r="H8" s="3" t="n"/>
      <c r="J8" t="n">
        <v>7</v>
      </c>
      <c r="K8" s="3" t="n"/>
      <c r="M8" t="n">
        <v>7</v>
      </c>
      <c r="N8" s="3" t="n"/>
      <c r="P8" t="n">
        <v>7</v>
      </c>
      <c r="Q8" s="3" t="n"/>
      <c r="S8" t="n">
        <v>7</v>
      </c>
      <c r="T8" s="3">
        <f>'BIC $6 $4'!T8+'BIC $4 '!T8+'BIC $3'!T8+'BIC 1 DTE'!T8</f>
        <v/>
      </c>
      <c r="V8" t="n">
        <v>7</v>
      </c>
      <c r="W8" s="3">
        <f>'BIC $6 $4'!W8+'BIC $4 '!W8+'BIC $3'!W8+'BIC 1 DTE'!W8</f>
        <v/>
      </c>
      <c r="Y8" t="n">
        <v>7</v>
      </c>
      <c r="Z8" s="3" t="n"/>
      <c r="AB8" t="n">
        <v>7</v>
      </c>
      <c r="AC8" s="3">
        <f>'BIC $6 $4'!AC8+'BIC $4 '!AC8+'BIC $3'!AC8+'BIC 1 DTE'!AC8</f>
        <v/>
      </c>
      <c r="AE8" t="n">
        <v>7</v>
      </c>
      <c r="AF8" s="3">
        <f>'BIC $6 $4'!AF8+'BIC $4 '!AF8+'BIC $3'!AF8+'BIC 1 DTE'!AF8</f>
        <v/>
      </c>
      <c r="AH8" t="n">
        <v>7</v>
      </c>
      <c r="AI8" s="3" t="n"/>
    </row>
    <row r="9">
      <c r="A9" t="n">
        <v>8</v>
      </c>
      <c r="B9" s="3">
        <f>'BIC $6 $4'!B9+'BIC $4 '!B9+'BIC $3'!B9+'BIC 1 DTE'!B9</f>
        <v/>
      </c>
      <c r="D9" t="n">
        <v>8</v>
      </c>
      <c r="E9" s="3" t="n"/>
      <c r="G9" t="n">
        <v>8</v>
      </c>
      <c r="H9" s="3" t="n"/>
      <c r="J9" t="n">
        <v>8</v>
      </c>
      <c r="K9" s="3" t="n"/>
      <c r="M9" t="n">
        <v>8</v>
      </c>
      <c r="N9" s="3">
        <f>'BIC $6 $4'!N9+'BIC $4 '!N9+'BIC $3'!N9+'BIC 1 DTE'!N9</f>
        <v/>
      </c>
      <c r="P9" t="n">
        <v>8</v>
      </c>
      <c r="Q9" s="3">
        <f>'BIC $6 $4'!Q9+'BIC $4 '!Q9+'BIC $3'!Q9+'BIC 1 DTE'!Q9</f>
        <v/>
      </c>
      <c r="S9" t="n">
        <v>8</v>
      </c>
      <c r="T9" s="3">
        <f>'BIC $6 $4'!T9+'BIC $4 '!T9+'BIC $3'!T9+'BIC 1 DTE'!T9</f>
        <v/>
      </c>
      <c r="V9" t="n">
        <v>8</v>
      </c>
      <c r="W9" s="3">
        <f>'BIC $6 $4'!W9+'BIC $4 '!W9+'BIC $3'!W9+'BIC 1 DTE'!W9</f>
        <v/>
      </c>
      <c r="Y9" t="n">
        <v>8</v>
      </c>
      <c r="Z9" s="3">
        <f>'BIC $6 $4'!Z9+'BIC $4 '!Z9+'BIC $3'!Z9+'BIC 1 DTE'!Z9</f>
        <v/>
      </c>
      <c r="AB9" t="n">
        <v>8</v>
      </c>
      <c r="AC9" s="3" t="n"/>
      <c r="AE9" t="n">
        <v>8</v>
      </c>
      <c r="AF9" s="3" t="n"/>
      <c r="AH9" t="n">
        <v>8</v>
      </c>
      <c r="AI9" s="3">
        <f>'BIC $6 $4'!AI9+'BIC $4 '!AI9+'BIC $3'!AI9+'BIC 1 DTE'!AI9</f>
        <v/>
      </c>
    </row>
    <row r="10">
      <c r="A10" t="n">
        <v>9</v>
      </c>
      <c r="B10" s="3">
        <f>'BIC $6 $4'!B10+'BIC $4 '!B10+'BIC $3'!B10+'BIC 1 DTE'!B10</f>
        <v/>
      </c>
      <c r="D10" t="n">
        <v>9</v>
      </c>
      <c r="E10" s="3">
        <f>'BIC $6 $4'!E10+'BIC $4 '!E10+'BIC $3'!E10+'BIC 1 DTE'!E10</f>
        <v/>
      </c>
      <c r="G10" t="n">
        <v>9</v>
      </c>
      <c r="H10" s="3">
        <f>'BIC $6 $4'!H10+'BIC $4 '!H10+'BIC $3'!H10+'BIC 1 DTE'!H10+'BIC Standard'!H10</f>
        <v/>
      </c>
      <c r="J10" t="n">
        <v>9</v>
      </c>
      <c r="K10" s="3" t="n"/>
      <c r="M10" t="n">
        <v>9</v>
      </c>
      <c r="N10" s="3">
        <f>'BIC $6 $4'!N10+'BIC $4 '!N10+'BIC $3'!N10+'BIC 1 DTE'!N10</f>
        <v/>
      </c>
      <c r="P10" t="n">
        <v>9</v>
      </c>
      <c r="Q10" s="3">
        <f>'BIC $6 $4'!Q10+'BIC $4 '!Q10+'BIC $3'!Q10+'BIC 1 DTE'!Q10</f>
        <v/>
      </c>
      <c r="S10" t="n">
        <v>9</v>
      </c>
      <c r="T10" s="3">
        <f>'BIC $6 $4'!T10+'BIC $4 '!T10+'BIC $3'!T10+'BIC 1 DTE'!T10</f>
        <v/>
      </c>
      <c r="V10" t="n">
        <v>9</v>
      </c>
      <c r="W10" s="3" t="n"/>
      <c r="Y10" t="n">
        <v>9</v>
      </c>
      <c r="Z10" s="3">
        <f>'BIC $6 $4'!Z10+'BIC $4 '!Z10+'BIC $3'!Z10+'BIC 1 DTE'!Z10</f>
        <v/>
      </c>
      <c r="AB10" t="n">
        <v>9</v>
      </c>
      <c r="AC10" s="3">
        <f>'BIC $6 $4'!AC10+'BIC $4 '!AC10+'BIC $3'!AC10+'BIC 1 DTE'!AC10</f>
        <v/>
      </c>
      <c r="AE10" t="n">
        <v>9</v>
      </c>
      <c r="AF10" s="3" t="n"/>
      <c r="AH10" t="n">
        <v>9</v>
      </c>
      <c r="AI10" s="3">
        <f>'BIC $6 $4'!AI10+'BIC $4 '!AI10+'BIC $3'!AI10+'BIC 1 DTE'!AI10</f>
        <v/>
      </c>
    </row>
    <row r="11">
      <c r="A11" t="n">
        <v>10</v>
      </c>
      <c r="D11" t="n">
        <v>10</v>
      </c>
      <c r="E11" s="3">
        <f>'BIC $6 $4'!E11+'BIC $4 '!E11+'BIC $3'!E11+'BIC 1 DTE'!E11</f>
        <v/>
      </c>
      <c r="G11" t="n">
        <v>10</v>
      </c>
      <c r="H11" s="3">
        <f>'BIC $6 $4'!H11+'BIC $4 '!H11+'BIC $3'!H11+'BIC 1 DTE'!H11+'BIC Standard'!H11</f>
        <v/>
      </c>
      <c r="J11" t="n">
        <v>10</v>
      </c>
      <c r="K11" s="3" t="n"/>
      <c r="M11" t="n">
        <v>10</v>
      </c>
      <c r="N11" s="3" t="n"/>
      <c r="P11" t="n">
        <v>10</v>
      </c>
      <c r="Q11" s="3">
        <f>'BIC $6 $4'!Q11+'BIC $4 '!Q11+'BIC $3'!Q11+'BIC 1 DTE'!Q11</f>
        <v/>
      </c>
      <c r="S11" t="n">
        <v>10</v>
      </c>
      <c r="T11" s="3">
        <f>'BIC $6 $4'!T11+'BIC $4 '!T11+'BIC $3'!T11+'BIC 1 DTE'!T11</f>
        <v/>
      </c>
      <c r="V11" t="n">
        <v>10</v>
      </c>
      <c r="W11" s="3" t="n"/>
      <c r="Y11" t="n">
        <v>10</v>
      </c>
      <c r="Z11" s="3">
        <f>'BIC $6 $4'!Z11+'BIC $4 '!Z11+'BIC $3'!Z11+'BIC 1 DTE'!Z11</f>
        <v/>
      </c>
      <c r="AB11" t="n">
        <v>10</v>
      </c>
      <c r="AC11" s="3">
        <f>'BIC $6 $4'!AC11+'BIC $4 '!AC11+'BIC $3'!AC11+'BIC 1 DTE'!AC11</f>
        <v/>
      </c>
      <c r="AE11" t="n">
        <v>10</v>
      </c>
      <c r="AF11" s="3">
        <f>'BIC $6 $4'!AF11+'BIC $4 '!AF11+'BIC $3'!AF11+'BIC 1 DTE'!AF11</f>
        <v/>
      </c>
      <c r="AH11" t="n">
        <v>10</v>
      </c>
      <c r="AI11" s="3" t="n"/>
    </row>
    <row r="12">
      <c r="A12" t="n">
        <v>11</v>
      </c>
      <c r="D12" t="n">
        <v>11</v>
      </c>
      <c r="E12" s="3">
        <f>'BIC $6 $4'!E12+'BIC $4 '!E12+'BIC $3'!E12+'BIC 1 DTE'!E12</f>
        <v/>
      </c>
      <c r="G12" t="n">
        <v>11</v>
      </c>
      <c r="H12" s="3">
        <f>'BIC $6 $4'!H12+'BIC $4 '!H12+'BIC $3'!H12+'BIC 1 DTE'!H12+'BIC Standard'!H12</f>
        <v/>
      </c>
      <c r="J12" t="n">
        <v>11</v>
      </c>
      <c r="K12" s="3" t="n"/>
      <c r="M12" t="n">
        <v>11</v>
      </c>
      <c r="N12" s="3" t="n"/>
      <c r="P12" t="n">
        <v>11</v>
      </c>
      <c r="Q12" s="3">
        <f>'BIC $6 $4'!Q12+'BIC $4 '!Q12+'BIC $3'!Q12+'BIC 1 DTE'!Q12</f>
        <v/>
      </c>
      <c r="S12" t="n">
        <v>11</v>
      </c>
      <c r="T12" s="3">
        <f>'BIC $6 $4'!T12+'BIC $4 '!T12+'BIC $3'!T12+'BIC 1 DTE'!T12</f>
        <v/>
      </c>
      <c r="V12" t="n">
        <v>11</v>
      </c>
      <c r="W12" s="3">
        <f>'BIC $6 $4'!W12+'BIC $4 '!W12+'BIC $3'!W12+'BIC 1 DTE'!W12</f>
        <v/>
      </c>
      <c r="Y12" t="n">
        <v>11</v>
      </c>
      <c r="Z12" s="3">
        <f>'BIC $6 $4'!Z12+'BIC $4 '!Z12+'BIC $3'!Z12+'BIC 1 DTE'!Z12</f>
        <v/>
      </c>
      <c r="AB12" t="n">
        <v>11</v>
      </c>
      <c r="AC12" s="3" t="n"/>
      <c r="AE12" t="n">
        <v>11</v>
      </c>
      <c r="AF12" s="3">
        <f>'BIC $6 $4'!AF12+'BIC $4 '!AF12+'BIC $3'!AF12+'BIC 1 DTE'!AF12</f>
        <v/>
      </c>
      <c r="AH12" t="n">
        <v>11</v>
      </c>
      <c r="AI12" s="3">
        <f>'BIC $6 $4'!AI12+'BIC $4 '!AI12+'BIC $3'!AI12+'BIC 1 DTE'!AI12</f>
        <v/>
      </c>
    </row>
    <row r="13">
      <c r="A13" t="n">
        <v>12</v>
      </c>
      <c r="B13" s="3">
        <f>'BIC $6 $4'!B13+'BIC $4 '!B13+'BIC $3'!B13+'BIC 1 DTE'!B13</f>
        <v/>
      </c>
      <c r="D13" t="n">
        <v>12</v>
      </c>
      <c r="E13" s="3">
        <f>'BIC $6 $4'!E13+'BIC $4 '!E13+'BIC $3'!E13+'BIC 1 DTE'!E13+'BIC Standard'!E13</f>
        <v/>
      </c>
      <c r="G13" t="n">
        <v>12</v>
      </c>
      <c r="H13" s="3">
        <f>'BIC $6 $4'!H13+'BIC $4 '!H13+'BIC $3'!H13+'BIC 1 DTE'!H13+'BIC Standard'!H13</f>
        <v/>
      </c>
      <c r="J13" t="n">
        <v>12</v>
      </c>
      <c r="K13" s="3" t="n"/>
      <c r="M13" t="n">
        <v>12</v>
      </c>
      <c r="N13" s="3">
        <f>'BIC $6 $4'!N13+'BIC $4 '!N13+'BIC $3'!N13+'BIC 1 DTE'!N13</f>
        <v/>
      </c>
      <c r="P13" t="n">
        <v>12</v>
      </c>
      <c r="Q13" s="3">
        <f>'BIC $6 $4'!Q13+'BIC $4 '!Q13+'BIC $3'!Q13+'BIC 1 DTE'!Q13</f>
        <v/>
      </c>
      <c r="S13" t="n">
        <v>12</v>
      </c>
      <c r="T13" s="3" t="n"/>
      <c r="V13" t="n">
        <v>12</v>
      </c>
      <c r="W13" s="3">
        <f>'BIC $6 $4'!W13+'BIC $4 '!W13+'BIC $3'!W13+'BIC 1 DTE'!W13</f>
        <v/>
      </c>
      <c r="Y13" t="n">
        <v>12</v>
      </c>
      <c r="Z13" s="3">
        <f>'BIC $6 $4'!Z13+'BIC $4 '!Z13+'BIC $3'!Z13+'BIC 1 DTE'!Z13</f>
        <v/>
      </c>
      <c r="AB13" t="n">
        <v>12</v>
      </c>
      <c r="AC13" s="3" t="n"/>
      <c r="AE13" t="n">
        <v>12</v>
      </c>
      <c r="AF13" s="3">
        <f>'BIC $6 $4'!AF13+'BIC $4 '!AF14+'BIC $3'!AF13+'BIC 1 DTE'!AF13</f>
        <v/>
      </c>
      <c r="AH13" t="n">
        <v>12</v>
      </c>
      <c r="AI13" s="3">
        <f>'BIC $6 $4'!AI13+'BIC $4 '!AI13+'BIC $3'!AI13+'BIC 1 DTE'!AI13</f>
        <v/>
      </c>
    </row>
    <row r="14">
      <c r="A14" t="n">
        <v>13</v>
      </c>
      <c r="B14" s="3">
        <f>'BIC $6 $4'!B14+'BIC $4 '!B14+'BIC $3'!B14+'BIC 1 DTE'!B14</f>
        <v/>
      </c>
      <c r="D14" t="n">
        <v>13</v>
      </c>
      <c r="E14" s="3">
        <f>'BIC $6 $4'!E14+'BIC $4 '!E14+'BIC $3'!E14+'BIC 1 DTE'!E14+'BIC Standard'!E14</f>
        <v/>
      </c>
      <c r="G14" t="n">
        <v>13</v>
      </c>
      <c r="H14" s="3">
        <f>'BIC $6 $4'!H14+'BIC $4 '!H14+'BIC $3'!H14+'BIC 1 DTE'!H14+'BIC Standard'!H14</f>
        <v/>
      </c>
      <c r="J14" t="n">
        <v>13</v>
      </c>
      <c r="K14" s="3" t="n"/>
      <c r="M14" t="n">
        <v>13</v>
      </c>
      <c r="N14" s="3">
        <f>'BIC $6 $4'!N14+'BIC $4 '!N14+'BIC $3'!N14+'BIC 1 DTE'!N14</f>
        <v/>
      </c>
      <c r="P14" t="n">
        <v>13</v>
      </c>
      <c r="Q14" s="3" t="n"/>
      <c r="S14" t="n">
        <v>13</v>
      </c>
      <c r="T14" s="3" t="n"/>
      <c r="V14" t="n">
        <v>13</v>
      </c>
      <c r="W14" s="3">
        <f>'BIC $6 $4'!W14+'BIC $4 '!W14+'BIC $3'!W14+'BIC 1 DTE'!W14</f>
        <v/>
      </c>
      <c r="Y14" t="n">
        <v>13</v>
      </c>
      <c r="Z14" s="3" t="n"/>
      <c r="AB14" t="n">
        <v>13</v>
      </c>
      <c r="AC14" s="3">
        <f>'BIC $6 $4'!AC14+'BIC $4 '!AC14+'BIC $3'!AC14+'BIC 1 DTE'!AC14</f>
        <v/>
      </c>
      <c r="AE14" t="n">
        <v>13</v>
      </c>
      <c r="AF14" s="3">
        <f>'BIC $6 $4'!AF14+'BIC $4 '!AF14+'BIC $3'!AF14+'BIC 1 DTE'!AF14</f>
        <v/>
      </c>
      <c r="AH14" t="n">
        <v>13</v>
      </c>
      <c r="AI14" s="3" t="n"/>
    </row>
    <row r="15">
      <c r="A15" t="n">
        <v>14</v>
      </c>
      <c r="B15" s="3">
        <f>'BIC $6 $4'!B15+'BIC $4 '!B15+'BIC $3'!B15+'BIC 1 DTE'!B15</f>
        <v/>
      </c>
      <c r="D15" t="n">
        <v>14</v>
      </c>
      <c r="E15" s="3" t="n"/>
      <c r="G15" t="n">
        <v>14</v>
      </c>
      <c r="H15" s="3" t="n"/>
      <c r="J15" t="n">
        <v>14</v>
      </c>
      <c r="K15" s="3" t="n"/>
      <c r="M15" t="n">
        <v>14</v>
      </c>
      <c r="N15" s="3">
        <f>'BIC $6 $4'!N15+'BIC $4 '!N15+'BIC $3'!N15+'BIC 1 DTE'!N15</f>
        <v/>
      </c>
      <c r="P15" t="n">
        <v>14</v>
      </c>
      <c r="Q15" s="3" t="n"/>
      <c r="S15" t="n">
        <v>14</v>
      </c>
      <c r="T15" s="3">
        <f>'BIC $6 $4'!T15+'BIC $4 '!T15+'BIC $3'!T15+'BIC 1 DTE'!T15</f>
        <v/>
      </c>
      <c r="V15" t="n">
        <v>14</v>
      </c>
      <c r="W15" s="3">
        <f>'BIC $6 $4'!W15+'BIC $4 '!W15+'BIC $3'!W15+'BIC 1 DTE'!W15</f>
        <v/>
      </c>
      <c r="Y15" t="n">
        <v>14</v>
      </c>
      <c r="Z15" s="3" t="n"/>
      <c r="AB15" t="n">
        <v>14</v>
      </c>
      <c r="AC15" s="3">
        <f>'BIC $6 $4'!AC15+'BIC $4 '!AC15+'BIC $3'!AC15+'BIC 1 DTE'!AC15</f>
        <v/>
      </c>
      <c r="AE15" t="n">
        <v>14</v>
      </c>
      <c r="AF15" s="3">
        <f>'BIC $6 $4'!AF15+'BIC $4 '!AF15+'BIC $3'!AF15+'BIC 1 DTE'!AF15</f>
        <v/>
      </c>
      <c r="AH15" t="n">
        <v>14</v>
      </c>
      <c r="AI15" s="3" t="n"/>
    </row>
    <row r="16">
      <c r="A16" t="n">
        <v>15</v>
      </c>
      <c r="B16" s="3">
        <f>'BIC $6 $4'!B16+'BIC $4 '!B16+'BIC $3'!B16+'BIC 1 DTE'!B16</f>
        <v/>
      </c>
      <c r="D16" t="n">
        <v>15</v>
      </c>
      <c r="E16" s="3" t="n"/>
      <c r="G16" t="n">
        <v>15</v>
      </c>
      <c r="H16" s="3" t="n"/>
      <c r="J16" t="n">
        <v>15</v>
      </c>
      <c r="K16" s="3" t="n"/>
      <c r="M16" t="n">
        <v>15</v>
      </c>
      <c r="N16" s="3">
        <f>'BIC $6 $4'!N16+'BIC $4 '!N16+'BIC $3'!N16+'BIC 1 DTE'!N16</f>
        <v/>
      </c>
      <c r="P16" t="n">
        <v>15</v>
      </c>
      <c r="Q16" s="3">
        <f>'BIC $6 $4'!Q16+'BIC $4 '!Q16+'BIC $3'!Q16+'BIC 1 DTE'!Q16</f>
        <v/>
      </c>
      <c r="S16" t="n">
        <v>15</v>
      </c>
      <c r="T16" s="3">
        <f>'BIC $6 $4'!T16+'BIC $4 '!T16+'BIC $3'!T16+'BIC 1 DTE'!T16</f>
        <v/>
      </c>
      <c r="V16" t="n">
        <v>15</v>
      </c>
      <c r="W16" s="3">
        <f>'BIC $6 $4'!W16+'BIC $4 '!W16+'BIC $3'!W16+'BIC 1 DTE'!W16</f>
        <v/>
      </c>
      <c r="Y16" t="n">
        <v>15</v>
      </c>
      <c r="Z16" s="3">
        <f>'BIC $6 $4'!Z16+'BIC $4 '!Z16+'BIC $3'!Z16+'BIC 1 DTE'!Z16</f>
        <v/>
      </c>
      <c r="AB16" t="n">
        <v>15</v>
      </c>
      <c r="AC16" s="3">
        <f>'BIC $6 $4'!AC16+'BIC $4 '!AC16+'BIC $3'!AC16+'BIC 1 DTE'!AC16</f>
        <v/>
      </c>
      <c r="AE16" t="n">
        <v>15</v>
      </c>
      <c r="AF16" s="3" t="n"/>
      <c r="AH16" t="n">
        <v>15</v>
      </c>
      <c r="AI16" s="3">
        <f>'BIC $6 $4'!AI16+'BIC $4 '!AI16+'BIC $3'!AI16+'BIC 1 DTE'!AI16</f>
        <v/>
      </c>
    </row>
    <row r="17">
      <c r="A17" t="n">
        <v>16</v>
      </c>
      <c r="B17" s="3">
        <f>'BIC $6 $4'!B17+'BIC $4 '!B17+'BIC $3'!B17+'BIC 1 DTE'!B17</f>
        <v/>
      </c>
      <c r="D17" t="n">
        <v>16</v>
      </c>
      <c r="E17" s="3" t="n"/>
      <c r="G17" t="n">
        <v>16</v>
      </c>
      <c r="H17" s="3">
        <f>'BIC $6 $4'!H17+'BIC $4 '!H17+'BIC $3'!H17+'BIC 1 DTE'!H17+'BIC Standard'!H17</f>
        <v/>
      </c>
      <c r="J17" t="n">
        <v>16</v>
      </c>
      <c r="K17" s="3" t="n"/>
      <c r="M17" t="n">
        <v>16</v>
      </c>
      <c r="N17" s="3">
        <f>'BIC $6 $4'!N17+'BIC $4 '!N17+'BIC $3'!N17+'BIC 1 DTE'!N17</f>
        <v/>
      </c>
      <c r="P17" t="n">
        <v>16</v>
      </c>
      <c r="Q17" s="3">
        <f>'BIC $6 $4'!Q17+'BIC $4 '!Q17+'BIC $3'!Q17+'BIC 1 DTE'!Q17</f>
        <v/>
      </c>
      <c r="S17" t="n">
        <v>16</v>
      </c>
      <c r="T17" s="3">
        <f>'BIC $6 $4'!T17+'BIC $4 '!T17+'BIC $3'!T17+'BIC 1 DTE'!T17</f>
        <v/>
      </c>
      <c r="V17" t="n">
        <v>16</v>
      </c>
      <c r="W17" s="3" t="n"/>
      <c r="Y17" t="n">
        <v>16</v>
      </c>
      <c r="Z17" s="3">
        <f>'BIC $6 $4'!Z17+'BIC $4 '!Z17+'BIC $3'!Z17+'BIC 1 DTE'!Z17</f>
        <v/>
      </c>
      <c r="AB17" t="n">
        <v>16</v>
      </c>
      <c r="AC17" s="3">
        <f>'BIC $6 $4'!AC17+'BIC $4 '!AC17+'BIC $3'!AC17+'BIC 1 DTE'!AC17</f>
        <v/>
      </c>
      <c r="AE17" t="n">
        <v>16</v>
      </c>
      <c r="AF17" s="3" t="n"/>
      <c r="AH17" t="n">
        <v>16</v>
      </c>
      <c r="AI17" s="3">
        <f>'BIC $6 $4'!AI17+'BIC $4 '!AI17+'BIC $3'!AI17+'BIC 1 DTE'!AI17</f>
        <v/>
      </c>
    </row>
    <row r="18">
      <c r="A18" t="n">
        <v>17</v>
      </c>
      <c r="D18" t="n">
        <v>17</v>
      </c>
      <c r="E18" s="3">
        <f>'BIC $6 $4'!E18+'BIC $4 '!E18+'BIC $3'!E18+'BIC 1 DTE'!E18+'BIC Standard'!E18</f>
        <v/>
      </c>
      <c r="G18" t="n">
        <v>17</v>
      </c>
      <c r="H18" s="3">
        <f>'BIC $6 $4'!H18+'BIC $4 '!H18+'BIC $3'!H18+'BIC 1 DTE'!H18+'BIC Standard'!H18</f>
        <v/>
      </c>
      <c r="J18" t="n">
        <v>17</v>
      </c>
      <c r="K18" s="3" t="n"/>
      <c r="M18" t="n">
        <v>17</v>
      </c>
      <c r="N18" s="3">
        <f>'BIC $6 $4'!N18+'BIC $4 '!N18+'BIC $3'!N18+'BIC 1 DTE'!N18</f>
        <v/>
      </c>
      <c r="P18" t="n">
        <v>17</v>
      </c>
      <c r="Q18" s="3" t="n"/>
      <c r="S18" t="n">
        <v>17</v>
      </c>
      <c r="T18" s="3">
        <f>'BIC $6 $4'!T18+'BIC $4 '!T18+'BIC $3'!T18+'BIC 1 DTE'!T18</f>
        <v/>
      </c>
      <c r="V18" t="n">
        <v>17</v>
      </c>
      <c r="W18" s="3" t="n"/>
      <c r="Y18" t="n">
        <v>17</v>
      </c>
      <c r="Z18" s="3" t="n"/>
      <c r="AB18" t="n">
        <v>17</v>
      </c>
      <c r="AC18" s="3">
        <f>'BIC $6 $4'!AC18+'BIC $4 '!AC18+'BIC $3'!AC18+'BIC 1 DTE'!AC18</f>
        <v/>
      </c>
      <c r="AE18" t="n">
        <v>17</v>
      </c>
      <c r="AF18" s="3">
        <f>'BIC $6 $4'!AF18+'BIC $4 '!AF18+'BIC $3'!AF18+'BIC 1 DTE'!AF18</f>
        <v/>
      </c>
      <c r="AH18" t="n">
        <v>17</v>
      </c>
      <c r="AI18" s="3">
        <f>'BIC $6 $4'!AI18+'BIC $4 '!AI18+'BIC $3'!AI18+'BIC 1 DTE'!AI18</f>
        <v/>
      </c>
    </row>
    <row r="19">
      <c r="A19" t="n">
        <v>18</v>
      </c>
      <c r="D19" t="n">
        <v>18</v>
      </c>
      <c r="E19" s="3">
        <f>'BIC $6 $4'!E19+'BIC Standard'!E19+'BIC $4 '!E19+'BIC $3'!E19+'BIC 1 DTE'!E19</f>
        <v/>
      </c>
      <c r="G19" t="n">
        <v>18</v>
      </c>
      <c r="H19" s="3">
        <f>'BIC $6 $4'!H19+'BIC $4 '!H19+'BIC $3'!H19+'BIC 1 DTE'!H19+'BIC Standard'!H19</f>
        <v/>
      </c>
      <c r="J19" t="n">
        <v>18</v>
      </c>
      <c r="K19" s="3" t="n"/>
      <c r="M19" t="n">
        <v>18</v>
      </c>
      <c r="N19" s="3">
        <f>'BIC $6 $4'!N19+'BIC $4 '!N19+'BIC $3'!N19+'BIC 1 DTE'!N19</f>
        <v/>
      </c>
      <c r="P19" t="n">
        <v>18</v>
      </c>
      <c r="Q19" s="3" t="n"/>
      <c r="S19" t="n">
        <v>18</v>
      </c>
      <c r="T19" s="3">
        <f>'BIC $6 $4'!T19+'BIC $4 '!T19+'BIC $3'!T19+'BIC 1 DTE'!T19</f>
        <v/>
      </c>
      <c r="V19" t="n">
        <v>18</v>
      </c>
      <c r="W19" s="3">
        <f>'BIC $6 $4'!W19+'BIC $4 '!W19+'BIC $3'!W19+'BIC 1 DTE'!W19</f>
        <v/>
      </c>
      <c r="Y19" t="n">
        <v>18</v>
      </c>
      <c r="Z19" s="3">
        <f>'BIC $6 $4'!Z19+'BIC $4 '!Z19+'BIC $3'!Z19+'BIC 1 DTE'!Z19</f>
        <v/>
      </c>
      <c r="AB19" t="n">
        <v>18</v>
      </c>
      <c r="AC19" s="3" t="n"/>
      <c r="AE19" t="n">
        <v>18</v>
      </c>
      <c r="AF19" s="3">
        <f>'BIC $6 $4'!AF19+'BIC $4 '!AF19+'BIC $3'!AF19+'BIC 1 DTE'!AF19</f>
        <v/>
      </c>
      <c r="AH19" t="n">
        <v>18</v>
      </c>
      <c r="AI19" s="3">
        <f>'BIC $6 $4'!AI19+'BIC $4 '!AI19+'BIC $3'!AI19+'BIC 1 DTE'!AI19</f>
        <v/>
      </c>
    </row>
    <row r="20">
      <c r="A20" t="n">
        <v>19</v>
      </c>
      <c r="D20" t="n">
        <v>19</v>
      </c>
      <c r="E20" s="3">
        <f>'BIC $6 $4'!E20+'BIC Standard'!E20+'BIC $4 '!E20+'BIC $3'!E20+'BIC 1 DTE'!E20</f>
        <v/>
      </c>
      <c r="G20" t="n">
        <v>19</v>
      </c>
      <c r="H20" s="3">
        <f>'BIC $6 $4'!H20+'BIC $4 '!H20+'BIC $3'!H20+'BIC 1 DTE'!H20+'BIC Standard'!H20</f>
        <v/>
      </c>
      <c r="J20" t="n">
        <v>19</v>
      </c>
      <c r="K20" s="3" t="n"/>
      <c r="M20" t="n">
        <v>19</v>
      </c>
      <c r="N20" s="3" t="n"/>
      <c r="P20" t="n">
        <v>19</v>
      </c>
      <c r="Q20" s="3">
        <f>'BIC $6 $4'!Q20+'BIC $4 '!Q20+'BIC $3'!Q20+'BIC 1 DTE'!Q20</f>
        <v/>
      </c>
      <c r="S20" t="n">
        <v>19</v>
      </c>
      <c r="T20" s="3" t="n"/>
      <c r="V20" t="n">
        <v>19</v>
      </c>
      <c r="W20" s="3">
        <f>'BIC $6 $4'!W20+'BIC $4 '!W20+'BIC $3'!W20+'BIC 1 DTE'!W20</f>
        <v/>
      </c>
      <c r="Y20" t="n">
        <v>19</v>
      </c>
      <c r="Z20" s="3">
        <f>'BIC $6 $4'!Z20+'BIC $4 '!Z20+'BIC $3'!Z20+'BIC 1 DTE'!Z20</f>
        <v/>
      </c>
      <c r="AB20" t="n">
        <v>19</v>
      </c>
      <c r="AC20" s="3" t="n"/>
      <c r="AE20" t="n">
        <v>19</v>
      </c>
      <c r="AF20" s="3">
        <f>'BIC $6 $4'!AF20+'BIC $4 '!AF20+'BIC $3'!AF20+'BIC 1 DTE'!AF20</f>
        <v/>
      </c>
      <c r="AH20" t="n">
        <v>19</v>
      </c>
      <c r="AI20" s="3">
        <f>'BIC $6 $4'!AI20+'BIC $4 '!AI20+'BIC $3'!AI20+'BIC 1 DTE'!AI20</f>
        <v/>
      </c>
    </row>
    <row r="21">
      <c r="A21" t="n">
        <v>20</v>
      </c>
      <c r="B21" s="3">
        <f>'BIC $6 $4'!B21+'BIC $4 '!B21+'BIC $3'!B21+'BIC 1 DTE'!B21</f>
        <v/>
      </c>
      <c r="D21" t="n">
        <v>20</v>
      </c>
      <c r="E21" s="3">
        <f>'BIC $6 $4'!E21+'BIC Standard'!E21+'BIC $4 '!E21+'BIC $3'!E21+'BIC 1 DTE'!E21</f>
        <v/>
      </c>
      <c r="G21" t="n">
        <v>20</v>
      </c>
      <c r="H21" s="3">
        <f>'BIC $6 $4'!H21+'BIC $4 '!H21+'BIC $3'!H21+'BIC 1 DTE'!H21+'BIC Standard'!H21</f>
        <v/>
      </c>
      <c r="J21" t="n">
        <v>20</v>
      </c>
      <c r="K21" s="3" t="n"/>
      <c r="M21" t="n">
        <v>20</v>
      </c>
      <c r="N21" s="3" t="n"/>
      <c r="P21" t="n">
        <v>20</v>
      </c>
      <c r="Q21" s="3" t="n"/>
      <c r="S21" t="n">
        <v>20</v>
      </c>
      <c r="T21" s="3" t="n"/>
      <c r="V21" t="n">
        <v>20</v>
      </c>
      <c r="W21" s="3">
        <f>'BIC $6 $4'!W21+'BIC $4 '!W21+'BIC $3'!W21+'BIC 1 DTE'!W21</f>
        <v/>
      </c>
      <c r="Y21" t="n">
        <v>20</v>
      </c>
      <c r="Z21" s="3" t="n"/>
      <c r="AB21" t="n">
        <v>20</v>
      </c>
      <c r="AC21" s="3">
        <f>'BIC $6 $4'!AC21+'BIC $4 '!AC21+'BIC $3'!AC21+'BIC 1 DTE'!AC21</f>
        <v/>
      </c>
      <c r="AE21" t="n">
        <v>20</v>
      </c>
      <c r="AF21" s="3">
        <f>'BIC $6 $4'!AF21+'BIC $4 '!AF21+'BIC $3'!AF21+'BIC 1 DTE'!AF21</f>
        <v/>
      </c>
      <c r="AH21" t="n">
        <v>20</v>
      </c>
      <c r="AI21" s="3" t="n"/>
    </row>
    <row r="22">
      <c r="A22" t="n">
        <v>21</v>
      </c>
      <c r="B22" s="3">
        <f>'BIC $6 $4'!B22+'BIC $4 '!B22+'BIC $3'!B22+'BIC 1 DTE'!B22</f>
        <v/>
      </c>
      <c r="D22" t="n">
        <v>21</v>
      </c>
      <c r="E22" s="3" t="n"/>
      <c r="G22" t="n">
        <v>21</v>
      </c>
      <c r="H22" s="3" t="n"/>
      <c r="J22" t="n">
        <v>21</v>
      </c>
      <c r="K22" s="3" t="n"/>
      <c r="M22" t="n">
        <v>21</v>
      </c>
      <c r="N22" s="3">
        <f>'BIC $6 $4'!N22+'BIC $4 '!N22+'BIC $3'!N22+'BIC 1 DTE'!N22</f>
        <v/>
      </c>
      <c r="P22" t="n">
        <v>21</v>
      </c>
      <c r="Q22" s="3" t="n"/>
      <c r="S22" t="n">
        <v>21</v>
      </c>
      <c r="T22" s="3">
        <f>'BIC $6 $4'!T22+'BIC $4 '!T22+'BIC $3'!T22+'BIC 1 DTE'!T22</f>
        <v/>
      </c>
      <c r="V22" t="n">
        <v>21</v>
      </c>
      <c r="W22" s="3">
        <f>'BIC $6 $4'!W22+'BIC $4 '!W22+'BIC $3'!W22+'BIC 1 DTE'!W22</f>
        <v/>
      </c>
      <c r="Y22" t="n">
        <v>21</v>
      </c>
      <c r="Z22" s="3" t="n"/>
      <c r="AB22" t="n">
        <v>21</v>
      </c>
      <c r="AC22" s="3">
        <f>'BIC $6 $4'!AC22+'BIC $4 '!AC22+'BIC $3'!AC22+'BIC 1 DTE'!AC22</f>
        <v/>
      </c>
      <c r="AE22" t="n">
        <v>21</v>
      </c>
      <c r="AF22" s="3">
        <f>'BIC $6 $4'!AF22+'BIC $4 '!AF22+'BIC $3'!AF22+'BIC 1 DTE'!AF22</f>
        <v/>
      </c>
      <c r="AH22" t="n">
        <v>21</v>
      </c>
      <c r="AI22" s="3" t="n"/>
    </row>
    <row r="23">
      <c r="A23" t="n">
        <v>22</v>
      </c>
      <c r="B23" s="3">
        <f>'BIC $6 $4'!B23+'BIC $4 '!B23+'BIC $3'!B23+'BIC 1 DTE'!B23</f>
        <v/>
      </c>
      <c r="D23" t="n">
        <v>22</v>
      </c>
      <c r="E23" s="3" t="n"/>
      <c r="G23" t="n">
        <v>22</v>
      </c>
      <c r="H23" s="3" t="n"/>
      <c r="J23" t="n">
        <v>22</v>
      </c>
      <c r="K23" s="3" t="n"/>
      <c r="M23" t="n">
        <v>22</v>
      </c>
      <c r="N23" s="3">
        <f>'BIC $6 $4'!N23+'BIC $4 '!N23+'BIC $3'!N23+'BIC 1 DTE'!N23</f>
        <v/>
      </c>
      <c r="P23" t="n">
        <v>22</v>
      </c>
      <c r="Q23" s="3">
        <f>'BIC $6 $4'!Q23+'BIC $4 '!Q23+'BIC $3'!Q23+'BIC 1 DTE'!Q23</f>
        <v/>
      </c>
      <c r="S23" t="n">
        <v>22</v>
      </c>
      <c r="T23" s="3">
        <f>'BIC $6 $4'!T23+'BIC $4 '!T23+'BIC $3'!T23+'BIC 1 DTE'!T23</f>
        <v/>
      </c>
      <c r="V23" t="n">
        <v>22</v>
      </c>
      <c r="W23" s="3">
        <f>'BIC $6 $4'!W23+'BIC $4 '!W23+'BIC $3'!W23+'BIC 1 DTE'!W23</f>
        <v/>
      </c>
      <c r="Y23" t="n">
        <v>22</v>
      </c>
      <c r="Z23" s="3">
        <f>'BIC $6 $4'!Z23+'BIC $4 '!Z23+'BIC $3'!Z23+'BIC 1 DTE'!Z23</f>
        <v/>
      </c>
      <c r="AB23" t="n">
        <v>22</v>
      </c>
      <c r="AC23" s="3">
        <f>'BIC $6 $4'!AC23+'BIC $4 '!AC23+'BIC $3'!AC23+'BIC 1 DTE'!AC23</f>
        <v/>
      </c>
      <c r="AE23" t="n">
        <v>22</v>
      </c>
      <c r="AF23" s="3" t="n"/>
      <c r="AH23" t="n">
        <v>22</v>
      </c>
      <c r="AI23" s="3">
        <f>'BIC $6 $4'!AI23+'BIC $4 '!AI23+'BIC $3'!AI23+'BIC 1 DTE'!AI23</f>
        <v/>
      </c>
    </row>
    <row r="24">
      <c r="A24" t="n">
        <v>23</v>
      </c>
      <c r="B24" s="3">
        <f>'BIC $6 $4'!B24+'BIC $4 '!B24+'BIC $3'!B24+'BIC 1 DTE'!B24</f>
        <v/>
      </c>
      <c r="D24" t="n">
        <v>23</v>
      </c>
      <c r="E24" s="3">
        <f>'BIC $6 $4'!E24+'BIC Standard'!E24+'BIC $4 '!E24+'BIC $3'!E24+'BIC 1 DTE'!E24</f>
        <v/>
      </c>
      <c r="G24" t="n">
        <v>23</v>
      </c>
      <c r="H24" s="3">
        <f>'BIC $6 $4'!H24+'BIC $4 '!H24+'BIC $3'!H24+'BIC 1 DTE'!H24+'BIC Standard'!H24</f>
        <v/>
      </c>
      <c r="J24" t="n">
        <v>23</v>
      </c>
      <c r="K24" s="3" t="n"/>
      <c r="M24" t="n">
        <v>23</v>
      </c>
      <c r="N24" s="3">
        <f>'BIC $6 $4'!N24+'BIC $4 '!N24+'BIC $3'!N24+'BIC 1 DTE'!N24</f>
        <v/>
      </c>
      <c r="P24" t="n">
        <v>23</v>
      </c>
      <c r="Q24" s="3">
        <f>'BIC $6 $4'!Q24+'BIC $4 '!Q24+'BIC $3'!Q24+'BIC 1 DTE'!Q24</f>
        <v/>
      </c>
      <c r="S24" t="n">
        <v>23</v>
      </c>
      <c r="T24" s="3">
        <f>'BIC $6 $4'!T24+'BIC $4 '!T24+'BIC $3'!T24+'BIC 1 DTE'!T24</f>
        <v/>
      </c>
      <c r="V24" t="n">
        <v>23</v>
      </c>
      <c r="W24" s="3" t="n"/>
      <c r="Y24" t="n">
        <v>23</v>
      </c>
      <c r="Z24" s="3">
        <f>'BIC $6 $4'!Z24+'BIC $4 '!Z24+'BIC $3'!Z24+'BIC 1 DTE'!Z24</f>
        <v/>
      </c>
      <c r="AB24" t="n">
        <v>23</v>
      </c>
      <c r="AC24" s="3">
        <f>'BIC $6 $4'!AC24+'BIC $4 '!AC24+'BIC $3'!AC24+'BIC 1 DTE'!AC24</f>
        <v/>
      </c>
      <c r="AE24" t="n">
        <v>23</v>
      </c>
      <c r="AF24" s="3" t="n"/>
      <c r="AH24" t="n">
        <v>23</v>
      </c>
      <c r="AI24" s="3">
        <f>'BIC $6 $4'!AI24+'BIC $4 '!AI24+'BIC $3'!AI24+'BIC 1 DTE'!AI24</f>
        <v/>
      </c>
    </row>
    <row r="25">
      <c r="A25" t="n">
        <v>24</v>
      </c>
      <c r="D25" t="n">
        <v>24</v>
      </c>
      <c r="E25" s="3">
        <f>'BIC $6 $4'!E25+'BIC Standard'!E25+'BIC $4 '!E25+'BIC $3'!E25+'BIC 1 DTE'!E25</f>
        <v/>
      </c>
      <c r="G25" t="n">
        <v>24</v>
      </c>
      <c r="H25" s="3">
        <f>'BIC $6 $4'!H25+'BIC $4 '!H25+'BIC $3'!H25+'BIC 1 DTE'!H25+'BIC Standard'!H25</f>
        <v/>
      </c>
      <c r="J25" t="n">
        <v>24</v>
      </c>
      <c r="K25" s="3" t="n"/>
      <c r="M25" t="n">
        <v>24</v>
      </c>
      <c r="N25" s="3" t="n"/>
      <c r="P25" t="n">
        <v>24</v>
      </c>
      <c r="Q25" s="3">
        <f>'BIC $6 $4'!Q25+'BIC $4 '!Q25+'BIC $3'!Q25+'BIC 1 DTE'!Q25</f>
        <v/>
      </c>
      <c r="S25" t="n">
        <v>24</v>
      </c>
      <c r="T25" s="3">
        <f>'BIC $6 $4'!T25+'BIC $4 '!T25+'BIC $3'!T25+'BIC 1 DTE'!T25</f>
        <v/>
      </c>
      <c r="V25" t="n">
        <v>24</v>
      </c>
      <c r="W25" s="3" t="n"/>
      <c r="Y25" t="n">
        <v>24</v>
      </c>
      <c r="Z25" s="3">
        <f>'BIC $6 $4'!Z25+'BIC $4 '!Z25+'BIC $3'!Z25+'BIC 1 DTE'!Z25</f>
        <v/>
      </c>
      <c r="AB25" t="n">
        <v>24</v>
      </c>
      <c r="AC25" s="3">
        <f>'BIC $6 $4'!AC25+'BIC $4 '!AC25+'BIC $3'!AC25+'BIC 1 DTE'!AC25</f>
        <v/>
      </c>
      <c r="AE25" t="n">
        <v>24</v>
      </c>
      <c r="AF25" s="3">
        <f>'BIC $6 $4'!AF25+'BIC $4 '!AF25+'BIC $3'!AF25+'BIC 1 DTE'!AF25</f>
        <v/>
      </c>
      <c r="AH25" t="n">
        <v>24</v>
      </c>
      <c r="AI25" s="3" t="n"/>
    </row>
    <row r="26">
      <c r="A26" t="n">
        <v>25</v>
      </c>
      <c r="D26" t="n">
        <v>25</v>
      </c>
      <c r="E26" s="3">
        <f>'BIC $6 $4'!E26+'BIC Standard'!E26+'BIC $4 '!E26+'BIC $3'!E26+'BIC 1 DTE'!E26</f>
        <v/>
      </c>
      <c r="G26" t="n">
        <v>25</v>
      </c>
      <c r="H26" s="3">
        <f>'BIC $6 $4'!H26+'BIC $4 '!H26+'BIC $3'!H26+'BIC 1 DTE'!H26+'BIC Standard'!H26</f>
        <v/>
      </c>
      <c r="J26" t="n">
        <v>25</v>
      </c>
      <c r="K26" s="3" t="n"/>
      <c r="M26" t="n">
        <v>25</v>
      </c>
      <c r="N26" s="3" t="n"/>
      <c r="P26" t="n">
        <v>25</v>
      </c>
      <c r="Q26" s="3">
        <f>'BIC $6 $4'!Q26+'BIC $4 '!Q26+'BIC $3'!Q26+'BIC 1 DTE'!Q26</f>
        <v/>
      </c>
      <c r="S26" t="n">
        <v>25</v>
      </c>
      <c r="T26" s="3">
        <f>'BIC $6 $4'!T26+'BIC $4 '!T26+'BIC $3'!T26+'BIC 1 DTE'!T26</f>
        <v/>
      </c>
      <c r="V26" t="n">
        <v>25</v>
      </c>
      <c r="W26" s="3">
        <f>'BIC $6 $4'!W26+'BIC $4 '!W26+'BIC $3'!W26+'BIC 1 DTE'!W26</f>
        <v/>
      </c>
      <c r="Y26" t="n">
        <v>25</v>
      </c>
      <c r="Z26" s="3">
        <f>'BIC $6 $4'!Z26+'BIC $4 '!Z26+'BIC $3'!Z26+'BIC 1 DTE'!Z26</f>
        <v/>
      </c>
      <c r="AB26" t="n">
        <v>25</v>
      </c>
      <c r="AC26" s="3" t="n"/>
      <c r="AE26" t="n">
        <v>25</v>
      </c>
      <c r="AF26" s="3">
        <f>'BIC $6 $4'!AF26+'BIC $4 '!AF26+'BIC $3'!AF26+'BIC 1 DTE'!AF26</f>
        <v/>
      </c>
      <c r="AH26" t="n">
        <v>25</v>
      </c>
      <c r="AI26" s="3" t="n"/>
    </row>
    <row r="27">
      <c r="A27" t="n">
        <v>26</v>
      </c>
      <c r="B27" s="3">
        <f>'BIC $6 $4'!B27+'BIC $4 '!B27+'BIC $3'!B27+'BIC 1 DTE'!B27</f>
        <v/>
      </c>
      <c r="D27" t="n">
        <v>26</v>
      </c>
      <c r="E27" s="3">
        <f>'BIC $6 $4'!E27+'BIC Standard'!E27+'BIC $4 '!E27+'BIC $3'!E27+'BIC 1 DTE'!E27</f>
        <v/>
      </c>
      <c r="G27" t="n">
        <v>26</v>
      </c>
      <c r="H27" s="3">
        <f>'BIC $6 $4'!H27+'BIC $4 '!H27+'BIC $3'!H27+'BIC 1 DTE'!H27+'BIC Standard'!H27</f>
        <v/>
      </c>
      <c r="J27" t="n">
        <v>26</v>
      </c>
      <c r="K27" s="3" t="n"/>
      <c r="M27" t="n">
        <v>26</v>
      </c>
      <c r="N27" s="3" t="n"/>
      <c r="P27" t="n">
        <v>26</v>
      </c>
      <c r="Q27" s="3">
        <f>'BIC $6 $4'!Q27+'BIC $4 '!Q27+'BIC $3'!Q27+'BIC 1 DTE'!Q27</f>
        <v/>
      </c>
      <c r="S27" t="n">
        <v>26</v>
      </c>
      <c r="T27" s="3" t="n"/>
      <c r="V27" t="n">
        <v>26</v>
      </c>
      <c r="W27" s="3">
        <f>'BIC $6 $4'!W27+'BIC $4 '!W27+'BIC $3'!W27+'BIC 1 DTE'!W27</f>
        <v/>
      </c>
      <c r="Y27" t="n">
        <v>26</v>
      </c>
      <c r="Z27" s="3">
        <f>'BIC $6 $4'!Z27+'BIC $4 '!Z27+'BIC $3'!Z27+'BIC 1 DTE'!Z27</f>
        <v/>
      </c>
      <c r="AB27" t="n">
        <v>26</v>
      </c>
      <c r="AC27" s="3" t="n"/>
      <c r="AE27" t="n">
        <v>26</v>
      </c>
      <c r="AF27" s="3">
        <f>'BIC $6 $4'!AF27+'BIC $4 '!AF27+'BIC $3'!AF27+'BIC 1 DTE'!AF27</f>
        <v/>
      </c>
      <c r="AH27" t="n">
        <v>26</v>
      </c>
      <c r="AI27" s="3">
        <f>'BIC $6 $4'!AI27+'BIC $4 '!AI27+'BIC $3'!AI27+'BIC 1 DTE'!AI27</f>
        <v/>
      </c>
    </row>
    <row r="28">
      <c r="A28" t="n">
        <v>27</v>
      </c>
      <c r="B28" s="3">
        <f>'BIC $6 $4'!B28+'BIC $4 '!B28+'BIC $3'!B28+'BIC 1 DTE'!B28</f>
        <v/>
      </c>
      <c r="D28" t="n">
        <v>27</v>
      </c>
      <c r="E28" s="3">
        <f>'BIC $6 $4'!E28+'BIC Standard'!E28+'BIC $4 '!E28+'BIC $3'!E28+'BIC 1 DTE'!E28</f>
        <v/>
      </c>
      <c r="G28" t="n">
        <v>27</v>
      </c>
      <c r="H28" s="3">
        <f>'BIC $6 $4'!H28+'BIC $4 '!H28+'BIC $3'!H28+'BIC 1 DTE'!H28+'BIC Standard'!H28</f>
        <v/>
      </c>
      <c r="J28" t="n">
        <v>27</v>
      </c>
      <c r="K28" s="3" t="n"/>
      <c r="M28" t="n">
        <v>27</v>
      </c>
      <c r="N28" s="3">
        <f>'BIC $6 $4'!N28+'BIC $4 '!N28+'BIC $3'!N28+'BIC 1 DTE'!N28</f>
        <v/>
      </c>
      <c r="P28" t="n">
        <v>27</v>
      </c>
      <c r="Q28" s="3" t="n"/>
      <c r="S28" t="n">
        <v>27</v>
      </c>
      <c r="T28" s="3" t="n"/>
      <c r="V28" t="n">
        <v>27</v>
      </c>
      <c r="W28" s="3">
        <f>'BIC $6 $4'!W28+'BIC $4 '!W28+'BIC $3'!W28+'BIC 1 DTE'!W28</f>
        <v/>
      </c>
      <c r="Y28" t="n">
        <v>27</v>
      </c>
      <c r="Z28" s="3" t="n"/>
      <c r="AB28" t="n">
        <v>27</v>
      </c>
      <c r="AC28" s="3">
        <f>'BIC $6 $4'!AC28+'BIC $4 '!AC28+'BIC $3'!AC28+'BIC 1 DTE'!AC28</f>
        <v/>
      </c>
      <c r="AE28" t="n">
        <v>27</v>
      </c>
      <c r="AF28" s="3" t="n"/>
      <c r="AH28" t="n">
        <v>27</v>
      </c>
      <c r="AI28" s="3" t="n"/>
    </row>
    <row r="29">
      <c r="A29" t="n">
        <v>28</v>
      </c>
      <c r="D29" t="n">
        <v>28</v>
      </c>
      <c r="E29" s="3" t="n"/>
      <c r="G29" t="n">
        <v>28</v>
      </c>
      <c r="H29" s="3" t="n"/>
      <c r="J29" t="n">
        <v>28</v>
      </c>
      <c r="K29" s="3" t="n"/>
      <c r="M29" t="n">
        <v>28</v>
      </c>
      <c r="N29" s="3">
        <f>'BIC $6 $4'!N29+'BIC $4 '!N29+'BIC $3'!N29+'BIC 1 DTE'!N29</f>
        <v/>
      </c>
      <c r="P29" t="n">
        <v>28</v>
      </c>
      <c r="Q29" s="3" t="n"/>
      <c r="S29" t="n">
        <v>28</v>
      </c>
      <c r="T29" s="3">
        <f>'BIC $6 $4'!T29+'BIC $4 '!T29+'BIC $3'!T29+'BIC 1 DTE'!T29</f>
        <v/>
      </c>
      <c r="V29" t="n">
        <v>28</v>
      </c>
      <c r="W29" s="3">
        <f>'BIC $6 $4'!W29+'BIC $4 '!W29+'BIC $3'!W29+'BIC 1 DTE'!W29</f>
        <v/>
      </c>
      <c r="Y29" t="n">
        <v>28</v>
      </c>
      <c r="Z29" s="3" t="n"/>
      <c r="AB29" t="n">
        <v>28</v>
      </c>
      <c r="AC29" s="3">
        <f>'BIC $6 $4'!AC29+'BIC $4 '!AC29+'BIC $3'!AC29+'BIC 1 DTE'!AC29</f>
        <v/>
      </c>
      <c r="AE29" t="n">
        <v>28</v>
      </c>
      <c r="AF29" s="3">
        <f>'BIC $6 $4'!AF29+'BIC $4 '!AF29+'BIC $3'!AF29+'BIC 1 DTE'!AF29</f>
        <v/>
      </c>
      <c r="AH29" t="n">
        <v>28</v>
      </c>
      <c r="AI29" s="3" t="n"/>
    </row>
    <row r="30">
      <c r="A30" t="n">
        <v>29</v>
      </c>
      <c r="D30" t="n">
        <v>29</v>
      </c>
      <c r="E30" s="3" t="n"/>
      <c r="G30" t="n">
        <v>29</v>
      </c>
      <c r="H30" s="3" t="n"/>
      <c r="J30" t="n">
        <v>29</v>
      </c>
      <c r="K30" s="3" t="n"/>
      <c r="M30" t="n">
        <v>29</v>
      </c>
      <c r="N30" s="3">
        <f>'BIC $6 $4'!N30+'BIC $4 '!N30+'BIC $3'!N30+'BIC 1 DTE'!N30</f>
        <v/>
      </c>
      <c r="P30" t="n">
        <v>29</v>
      </c>
      <c r="Q30" s="3">
        <f>'BIC $6 $4'!Q30+'BIC $4 '!Q30+'BIC $3'!Q30+'BIC 1 DTE'!Q30</f>
        <v/>
      </c>
      <c r="S30" t="n">
        <v>29</v>
      </c>
      <c r="T30" s="3">
        <f>'BIC $6 $4'!T30+'BIC $4 '!T30+'BIC $3'!T30+'BIC 1 DTE'!T30</f>
        <v/>
      </c>
      <c r="V30" t="n">
        <v>29</v>
      </c>
      <c r="W30" s="3">
        <f>'BIC $6 $4'!W30+'BIC $4 '!W30+'BIC $3'!W30+'BIC 1 DTE'!W30</f>
        <v/>
      </c>
      <c r="Y30" t="n">
        <v>29</v>
      </c>
      <c r="Z30" s="3">
        <f>'BIC $6 $4'!Z30+'BIC $4 '!Z30+'BIC $3'!Z30+'BIC 1 DTE'!Z30</f>
        <v/>
      </c>
      <c r="AB30" t="n">
        <v>29</v>
      </c>
      <c r="AC30" s="3" t="n"/>
      <c r="AE30" t="n">
        <v>29</v>
      </c>
      <c r="AF30" s="3" t="n"/>
      <c r="AH30" t="n">
        <v>29</v>
      </c>
      <c r="AI30" s="3">
        <f>'BIC $6 $4'!AI30+'BIC $4 '!AI30+'BIC $3'!AI30+'BIC 1 DTE'!AI30</f>
        <v/>
      </c>
    </row>
    <row r="31">
      <c r="A31" t="n">
        <v>30</v>
      </c>
      <c r="B31" s="3">
        <f>'BIC $6 $4'!B31+'BIC $4 '!B31+'BIC $3'!B31+'BIC 1 DTE'!B31</f>
        <v/>
      </c>
      <c r="D31" t="n">
        <v>30</v>
      </c>
      <c r="E31" s="3" t="n"/>
      <c r="G31" t="n">
        <v>30</v>
      </c>
      <c r="H31" s="3">
        <f>'BIC $6 $4'!H31+'BIC $4 '!H31+'BIC $3'!H31+'BIC 1 DTE'!H31+'BIC Standard'!H31</f>
        <v/>
      </c>
      <c r="J31" t="n">
        <v>30</v>
      </c>
      <c r="K31" s="3" t="n"/>
      <c r="M31" t="n">
        <v>30</v>
      </c>
      <c r="N31" s="3">
        <f>'BIC $6 $4'!N31+'BIC $4 '!N31+'BIC $3'!N31+'BIC 1 DTE'!N31</f>
        <v/>
      </c>
      <c r="P31" t="n">
        <v>30</v>
      </c>
      <c r="Q31" s="3" t="n"/>
      <c r="S31" t="n">
        <v>30</v>
      </c>
      <c r="T31" s="3" t="n"/>
      <c r="V31" t="n">
        <v>30</v>
      </c>
      <c r="W31" s="3" t="n"/>
      <c r="Y31" t="n">
        <v>30</v>
      </c>
      <c r="Z31" s="3" t="n"/>
      <c r="AB31" t="n">
        <v>30</v>
      </c>
      <c r="AC31" s="3">
        <f>'BIC $6 $4'!AC31+'BIC $4 '!AC31+'BIC $3'!AC31+'BIC 1 DTE'!AC31</f>
        <v/>
      </c>
      <c r="AE31" t="n">
        <v>30</v>
      </c>
      <c r="AF31" s="3" t="n"/>
      <c r="AH31" t="n">
        <v>30</v>
      </c>
      <c r="AI31" s="3">
        <f>'BIC $6 $4'!AI31+'BIC $4 '!AI31+'BIC $3'!AI31+'BIC 1 DTE'!AI31</f>
        <v/>
      </c>
    </row>
    <row r="32">
      <c r="A32" t="n">
        <v>31</v>
      </c>
      <c r="D32" t="n">
        <v>31</v>
      </c>
      <c r="E32" s="3" t="n"/>
      <c r="G32" t="n">
        <v>31</v>
      </c>
      <c r="H32" s="3">
        <f>'BIC $6 $4'!H32+'BIC $4 '!H32+'BIC $3'!H32+'BIC 1 DTE'!H32+'BIC Standard'!H32</f>
        <v/>
      </c>
      <c r="J32" t="n">
        <v>31</v>
      </c>
      <c r="K32" s="3" t="n"/>
      <c r="M32" t="n">
        <v>31</v>
      </c>
      <c r="N32" s="3" t="n"/>
      <c r="P32" t="n">
        <v>31</v>
      </c>
      <c r="Q32" s="3" t="n"/>
      <c r="S32" t="n">
        <v>31</v>
      </c>
      <c r="T32" s="3" t="n"/>
      <c r="V32" t="n">
        <v>31</v>
      </c>
      <c r="W32" s="3" t="n"/>
      <c r="Y32" t="n">
        <v>31</v>
      </c>
      <c r="Z32" s="3" t="n"/>
      <c r="AB32" t="n">
        <v>31</v>
      </c>
      <c r="AC32" s="3">
        <f>'BIC $6 $4'!AC32+'BIC $4 '!AC32+'BIC $3'!AC32+'BIC 1 DTE'!AC32</f>
        <v/>
      </c>
      <c r="AE32" t="n">
        <v>31</v>
      </c>
      <c r="AF32" s="3" t="n"/>
      <c r="AH32" t="n">
        <v>31</v>
      </c>
      <c r="AI32" s="3" t="n"/>
    </row>
    <row r="33">
      <c r="E33" s="3" t="n"/>
    </row>
    <row r="34">
      <c r="E34" s="3" t="n"/>
    </row>
    <row r="35">
      <c r="A35" t="inlineStr">
        <is>
          <t>Total</t>
        </is>
      </c>
      <c r="B35" s="3">
        <f>'BIC $6 $4'!B35+'BIC $4 '!B35+'BIC $3'!B35+'BIC 1 DTE'!B35</f>
        <v/>
      </c>
      <c r="E35" s="3">
        <f>SUM(E2:E27)</f>
        <v/>
      </c>
      <c r="H35" s="3">
        <f>SUM(H2:H32)</f>
        <v/>
      </c>
      <c r="K35" s="3">
        <f>'BIC $6 $4'!K35+'BIC $4 '!K35+'BIC $3'!K35+'BIC 1 DTE'!K35</f>
        <v/>
      </c>
      <c r="N35" s="3">
        <f>SUM(N2:N34)</f>
        <v/>
      </c>
      <c r="Q35" s="3">
        <f>SUM(Q2:Q34)</f>
        <v/>
      </c>
      <c r="T35" s="3">
        <f>SUM(T2:T34)</f>
        <v/>
      </c>
      <c r="W35" s="3">
        <f>SUM(W2:W34)</f>
        <v/>
      </c>
      <c r="Z35" s="3">
        <f>SUM(Z2:Z34)</f>
        <v/>
      </c>
      <c r="AC35" s="3">
        <f>SUM(AC2:AC34)</f>
        <v/>
      </c>
      <c r="AF35" s="3">
        <f>SUM(AF2:AF34)</f>
        <v/>
      </c>
      <c r="AI35" s="3">
        <f>SUM(AI2:AI34)</f>
        <v/>
      </c>
    </row>
  </sheetData>
  <mergeCells count="3">
    <mergeCell ref="D1:E1"/>
    <mergeCell ref="G1:H1"/>
    <mergeCell ref="A1:B1"/>
  </mergeCells>
  <conditionalFormatting sqref="B2:B10 B12:B32 B35">
    <cfRule type="cellIs" priority="92" operator="greaterThan" dxfId="0">
      <formula>0</formula>
    </cfRule>
    <cfRule type="cellIs" priority="91" operator="lessThan" dxfId="1">
      <formula>0</formula>
    </cfRule>
  </conditionalFormatting>
  <conditionalFormatting sqref="E2:E35">
    <cfRule type="cellIs" priority="88" operator="greaterThan" dxfId="0">
      <formula>0</formula>
    </cfRule>
    <cfRule type="cellIs" priority="87" operator="lessThan" dxfId="1">
      <formula>0</formula>
    </cfRule>
  </conditionalFormatting>
  <conditionalFormatting sqref="H2:H32">
    <cfRule type="cellIs" priority="86" operator="greaterThan" dxfId="0">
      <formula>0</formula>
    </cfRule>
    <cfRule type="cellIs" priority="85" operator="lessThan" dxfId="1">
      <formula>0</formula>
    </cfRule>
  </conditionalFormatting>
  <conditionalFormatting sqref="H35">
    <cfRule type="cellIs" priority="84" operator="greaterThan" dxfId="0">
      <formula>0</formula>
    </cfRule>
    <cfRule type="cellIs" priority="83" operator="lessThan" dxfId="1">
      <formula>0</formula>
    </cfRule>
  </conditionalFormatting>
  <conditionalFormatting sqref="K2:K32">
    <cfRule type="cellIs" priority="76" operator="greaterThan" dxfId="0">
      <formula>0</formula>
    </cfRule>
    <cfRule type="cellIs" priority="75" operator="lessThan" dxfId="1">
      <formula>0</formula>
    </cfRule>
  </conditionalFormatting>
  <conditionalFormatting sqref="K35">
    <cfRule type="cellIs" priority="74" operator="greaterThan" dxfId="0">
      <formula>0</formula>
    </cfRule>
    <cfRule type="cellIs" priority="73" operator="lessThan" dxfId="1">
      <formula>0</formula>
    </cfRule>
  </conditionalFormatting>
  <conditionalFormatting sqref="N2:N32">
    <cfRule type="cellIs" priority="72" operator="greaterThan" dxfId="0">
      <formula>0</formula>
    </cfRule>
    <cfRule type="cellIs" priority="71" operator="lessThan" dxfId="1">
      <formula>0</formula>
    </cfRule>
  </conditionalFormatting>
  <conditionalFormatting sqref="N35">
    <cfRule type="cellIs" priority="70" operator="greaterThan" dxfId="0">
      <formula>0</formula>
    </cfRule>
    <cfRule type="cellIs" priority="69" operator="lessThan" dxfId="1">
      <formula>0</formula>
    </cfRule>
  </conditionalFormatting>
  <conditionalFormatting sqref="Q2:Q32">
    <cfRule type="cellIs" priority="63" operator="lessThan" dxfId="1">
      <formula>0</formula>
    </cfRule>
    <cfRule type="cellIs" priority="64" operator="greaterThan" dxfId="0">
      <formula>0</formula>
    </cfRule>
  </conditionalFormatting>
  <conditionalFormatting sqref="Q35">
    <cfRule type="cellIs" priority="65" operator="lessThan" dxfId="1">
      <formula>0</formula>
    </cfRule>
    <cfRule type="cellIs" priority="66" operator="greaterThan" dxfId="0">
      <formula>0</formula>
    </cfRule>
  </conditionalFormatting>
  <conditionalFormatting sqref="T2:T32">
    <cfRule type="cellIs" priority="56" operator="greaterThan" dxfId="0">
      <formula>0</formula>
    </cfRule>
    <cfRule type="cellIs" priority="55" operator="lessThan" dxfId="1">
      <formula>0</formula>
    </cfRule>
  </conditionalFormatting>
  <conditionalFormatting sqref="T35">
    <cfRule type="cellIs" priority="62" operator="greaterThan" dxfId="0">
      <formula>0</formula>
    </cfRule>
    <cfRule type="cellIs" priority="61" operator="lessThan" dxfId="1">
      <formula>0</formula>
    </cfRule>
  </conditionalFormatting>
  <conditionalFormatting sqref="W2:W32">
    <cfRule type="cellIs" priority="52" operator="greaterThan" dxfId="0">
      <formula>0</formula>
    </cfRule>
    <cfRule type="cellIs" priority="51" operator="lessThan" dxfId="1">
      <formula>0</formula>
    </cfRule>
  </conditionalFormatting>
  <conditionalFormatting sqref="W35">
    <cfRule type="cellIs" priority="54" operator="greaterThan" dxfId="0">
      <formula>0</formula>
    </cfRule>
    <cfRule type="cellIs" priority="53" operator="lessThan" dxfId="1">
      <formula>0</formula>
    </cfRule>
  </conditionalFormatting>
  <conditionalFormatting sqref="Z2:Z32">
    <cfRule type="cellIs" priority="41" operator="lessThan" dxfId="1">
      <formula>0</formula>
    </cfRule>
    <cfRule type="cellIs" priority="42" operator="greaterThan" dxfId="0">
      <formula>0</formula>
    </cfRule>
  </conditionalFormatting>
  <conditionalFormatting sqref="Z35">
    <cfRule type="cellIs" priority="50" operator="greaterThan" dxfId="0">
      <formula>0</formula>
    </cfRule>
    <cfRule type="cellIs" priority="49" operator="lessThan" dxfId="1">
      <formula>0</formula>
    </cfRule>
  </conditionalFormatting>
  <conditionalFormatting sqref="AC2:AC4 AC6:AC32">
    <cfRule type="cellIs" priority="97" operator="lessThan" dxfId="1">
      <formula>0</formula>
    </cfRule>
    <cfRule type="cellIs" priority="98" operator="greaterThan" dxfId="0">
      <formula>0</formula>
    </cfRule>
  </conditionalFormatting>
  <conditionalFormatting sqref="AC35">
    <cfRule type="cellIs" priority="40" operator="greaterThan" dxfId="0">
      <formula>0</formula>
    </cfRule>
    <cfRule type="cellIs" priority="39" operator="lessThan" dxfId="1">
      <formula>0</formula>
    </cfRule>
  </conditionalFormatting>
  <conditionalFormatting sqref="AF2:AF32">
    <cfRule type="cellIs" priority="15" operator="lessThan" dxfId="1">
      <formula>0</formula>
    </cfRule>
    <cfRule type="cellIs" priority="16" operator="greaterThan" dxfId="0">
      <formula>0</formula>
    </cfRule>
  </conditionalFormatting>
  <conditionalFormatting sqref="AF35">
    <cfRule type="cellIs" priority="29" operator="lessThan" dxfId="1">
      <formula>0</formula>
    </cfRule>
    <cfRule type="cellIs" priority="30" operator="greaterThan" dxfId="0">
      <formula>0</formula>
    </cfRule>
  </conditionalFormatting>
  <conditionalFormatting sqref="AI2:AI32">
    <cfRule type="cellIs" priority="2" operator="greaterThan" dxfId="0">
      <formula>0</formula>
    </cfRule>
    <cfRule type="cellIs" priority="1" operator="lessThan" dxfId="1">
      <formula>0</formula>
    </cfRule>
  </conditionalFormatting>
  <conditionalFormatting sqref="AI35">
    <cfRule type="cellIs" priority="25" operator="lessThan" dxfId="1">
      <formula>0</formula>
    </cfRule>
    <cfRule type="cellIs" priority="26" operator="greaterThan" dxfId="0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selection activeCell="K8" sqref="K8"/>
    </sheetView>
  </sheetViews>
  <sheetFormatPr baseColWidth="8" defaultRowHeight="15"/>
  <cols>
    <col width="18.42578125" customWidth="1" min="1" max="1"/>
    <col width="15.42578125" customWidth="1" style="3" min="2" max="2"/>
    <col width="11.5703125" customWidth="1" min="4" max="4"/>
    <col width="12.5703125" customWidth="1" min="5" max="5"/>
    <col width="11.5703125" customWidth="1" min="7" max="7"/>
    <col width="12.5703125" customWidth="1" min="8" max="8"/>
    <col width="11.5703125" customWidth="1" min="10" max="10"/>
    <col width="10.140625" bestFit="1" customWidth="1" min="11" max="11"/>
    <col width="10.42578125" bestFit="1" customWidth="1" min="13" max="13"/>
    <col width="10.85546875" bestFit="1" customWidth="1" min="14" max="14"/>
    <col width="10.85546875" bestFit="1" customWidth="1" min="17" max="17"/>
    <col width="10.85546875" bestFit="1" customWidth="1" min="20" max="20"/>
    <col width="10.85546875" bestFit="1" customWidth="1" min="23" max="23"/>
    <col width="10.85546875" bestFit="1" customWidth="1" min="26" max="26"/>
    <col width="10.85546875" bestFit="1" customWidth="1" min="29" max="29"/>
    <col width="10.85546875" bestFit="1" customWidth="1" min="32" max="32"/>
    <col width="10.140625" bestFit="1" customWidth="1" min="35" max="35"/>
  </cols>
  <sheetData>
    <row r="1" customFormat="1" s="2">
      <c r="A1" s="9" t="inlineStr">
        <is>
          <t>January</t>
        </is>
      </c>
      <c r="D1" s="9" t="inlineStr">
        <is>
          <t>February</t>
        </is>
      </c>
      <c r="G1" s="9" t="inlineStr">
        <is>
          <t>March</t>
        </is>
      </c>
      <c r="J1" s="2" t="inlineStr">
        <is>
          <t>April</t>
        </is>
      </c>
      <c r="M1" s="2" t="inlineStr">
        <is>
          <t>May</t>
        </is>
      </c>
      <c r="P1" s="2" t="inlineStr">
        <is>
          <t>Jun</t>
        </is>
      </c>
      <c r="S1" s="2" t="inlineStr">
        <is>
          <t>Jul</t>
        </is>
      </c>
      <c r="V1" s="2" t="inlineStr">
        <is>
          <t>Aug</t>
        </is>
      </c>
      <c r="Y1" s="2" t="inlineStr">
        <is>
          <t>Sep</t>
        </is>
      </c>
      <c r="AB1" s="2" t="inlineStr">
        <is>
          <t>Oct</t>
        </is>
      </c>
      <c r="AE1" s="2" t="inlineStr">
        <is>
          <t>Nov</t>
        </is>
      </c>
      <c r="AH1" s="2" t="inlineStr">
        <is>
          <t>Dec</t>
        </is>
      </c>
    </row>
    <row r="2">
      <c r="A2" t="n">
        <v>1</v>
      </c>
      <c r="D2" t="n">
        <v>1</v>
      </c>
      <c r="E2" s="3" t="n"/>
      <c r="G2" t="n">
        <v>1</v>
      </c>
      <c r="H2" s="3" t="n"/>
      <c r="J2" t="n">
        <v>1</v>
      </c>
      <c r="K2" s="3" t="n"/>
      <c r="M2" t="n">
        <v>1</v>
      </c>
      <c r="N2" s="3" t="n"/>
      <c r="P2" t="n">
        <v>1</v>
      </c>
      <c r="Q2" s="3" t="n"/>
      <c r="S2" t="n">
        <v>1</v>
      </c>
      <c r="T2" s="3" t="n"/>
      <c r="V2" t="n">
        <v>1</v>
      </c>
      <c r="W2" s="3" t="n"/>
      <c r="Y2" t="n">
        <v>1</v>
      </c>
      <c r="Z2" s="3" t="n"/>
      <c r="AB2" t="n">
        <v>1</v>
      </c>
      <c r="AC2" s="3" t="n"/>
      <c r="AE2" t="n">
        <v>1</v>
      </c>
      <c r="AF2" s="3" t="n"/>
      <c r="AH2" t="n">
        <v>1</v>
      </c>
      <c r="AI2" s="3" t="n"/>
    </row>
    <row r="3">
      <c r="A3" t="n">
        <v>2</v>
      </c>
      <c r="B3" s="3" t="n">
        <v>-2630</v>
      </c>
      <c r="D3" t="n">
        <v>2</v>
      </c>
      <c r="E3" s="3" t="n">
        <v>1205</v>
      </c>
      <c r="G3" t="n">
        <v>2</v>
      </c>
      <c r="H3" s="3" t="n"/>
      <c r="J3" t="n">
        <v>2</v>
      </c>
      <c r="K3" s="3" t="n"/>
      <c r="M3" t="n">
        <v>2</v>
      </c>
      <c r="N3" s="3" t="n"/>
      <c r="P3" t="n">
        <v>2</v>
      </c>
      <c r="Q3" s="3" t="n"/>
      <c r="S3" t="n">
        <v>2</v>
      </c>
      <c r="T3" s="3" t="n"/>
      <c r="V3" t="n">
        <v>2</v>
      </c>
      <c r="W3" s="3" t="n"/>
      <c r="Y3" t="n">
        <v>2</v>
      </c>
      <c r="Z3" s="3" t="n"/>
      <c r="AB3" t="n">
        <v>2</v>
      </c>
      <c r="AC3" s="3" t="n"/>
      <c r="AE3" t="n">
        <v>2</v>
      </c>
      <c r="AF3" s="3" t="n"/>
      <c r="AH3" t="n">
        <v>2</v>
      </c>
      <c r="AI3" s="3" t="n"/>
    </row>
    <row r="4">
      <c r="A4" t="n">
        <v>3</v>
      </c>
      <c r="D4" t="n">
        <v>3</v>
      </c>
      <c r="E4" s="3" t="n">
        <v>-5660</v>
      </c>
      <c r="G4" t="n">
        <v>3</v>
      </c>
      <c r="H4" s="3" t="n">
        <v>-2390</v>
      </c>
      <c r="J4" t="n">
        <v>3</v>
      </c>
      <c r="K4" s="3" t="n"/>
      <c r="M4" t="n">
        <v>3</v>
      </c>
      <c r="N4" s="3" t="n"/>
      <c r="P4" t="n">
        <v>3</v>
      </c>
      <c r="Q4" s="3" t="n"/>
      <c r="S4" t="n">
        <v>3</v>
      </c>
      <c r="T4" s="3" t="n"/>
      <c r="V4" t="n">
        <v>3</v>
      </c>
      <c r="W4" s="3" t="n"/>
      <c r="Y4" t="n">
        <v>3</v>
      </c>
      <c r="Z4" s="3" t="n"/>
      <c r="AB4" t="n">
        <v>3</v>
      </c>
      <c r="AC4" s="3" t="n"/>
      <c r="AE4" t="n">
        <v>3</v>
      </c>
      <c r="AF4" s="3" t="n"/>
      <c r="AH4" t="n">
        <v>3</v>
      </c>
      <c r="AI4" s="3" t="n"/>
    </row>
    <row r="5">
      <c r="A5" t="n">
        <v>4</v>
      </c>
      <c r="D5" t="n">
        <v>4</v>
      </c>
      <c r="E5" s="3" t="n">
        <v>-1480</v>
      </c>
      <c r="G5" t="n">
        <v>4</v>
      </c>
      <c r="H5" s="3" t="n">
        <v>2370</v>
      </c>
      <c r="J5" t="n">
        <v>4</v>
      </c>
      <c r="K5" s="3" t="n"/>
      <c r="M5" t="n">
        <v>4</v>
      </c>
      <c r="N5" s="3" t="n"/>
      <c r="P5" t="n">
        <v>4</v>
      </c>
      <c r="Q5" s="3" t="n"/>
      <c r="S5" t="n">
        <v>4</v>
      </c>
      <c r="T5" s="3" t="n"/>
      <c r="V5" t="n">
        <v>4</v>
      </c>
      <c r="W5" s="3" t="n"/>
      <c r="Y5" t="n">
        <v>4</v>
      </c>
      <c r="Z5" s="3" t="n"/>
      <c r="AB5" t="n">
        <v>4</v>
      </c>
      <c r="AC5" s="3" t="n"/>
      <c r="AE5" t="n">
        <v>4</v>
      </c>
      <c r="AF5" s="3" t="n"/>
      <c r="AH5" t="n">
        <v>4</v>
      </c>
      <c r="AI5" s="3" t="n"/>
    </row>
    <row r="6">
      <c r="A6" t="n">
        <v>5</v>
      </c>
      <c r="B6" s="3" t="n">
        <v>-1300</v>
      </c>
      <c r="D6" t="n">
        <v>5</v>
      </c>
      <c r="E6" s="3" t="n">
        <v>920</v>
      </c>
      <c r="G6" t="n">
        <v>5</v>
      </c>
      <c r="H6" s="3" t="n">
        <v>5</v>
      </c>
      <c r="J6" t="n">
        <v>5</v>
      </c>
      <c r="K6" s="3" t="n"/>
      <c r="M6" t="n">
        <v>5</v>
      </c>
      <c r="N6" s="3" t="n"/>
      <c r="P6" t="n">
        <v>5</v>
      </c>
      <c r="Q6" s="3" t="n"/>
      <c r="S6" t="n">
        <v>5</v>
      </c>
      <c r="T6" s="3" t="n"/>
      <c r="V6" t="n">
        <v>5</v>
      </c>
      <c r="W6" s="3" t="n"/>
      <c r="Y6" t="n">
        <v>5</v>
      </c>
      <c r="Z6" s="3" t="n"/>
      <c r="AB6" t="n">
        <v>5</v>
      </c>
      <c r="AC6" s="3" t="n"/>
      <c r="AE6" t="n">
        <v>5</v>
      </c>
      <c r="AF6" s="3" t="n"/>
      <c r="AH6" t="n">
        <v>5</v>
      </c>
      <c r="AI6" s="3" t="n"/>
    </row>
    <row r="7">
      <c r="A7" t="n">
        <v>6</v>
      </c>
      <c r="B7" s="3" t="n">
        <v>-1180</v>
      </c>
      <c r="D7" t="n">
        <v>6</v>
      </c>
      <c r="E7" s="3" t="n">
        <v>3095</v>
      </c>
      <c r="G7" t="n">
        <v>6</v>
      </c>
      <c r="H7" s="3" t="n">
        <v>3350</v>
      </c>
      <c r="J7" t="n">
        <v>6</v>
      </c>
      <c r="K7" s="3" t="n"/>
      <c r="M7" t="n">
        <v>6</v>
      </c>
      <c r="N7" s="3" t="n"/>
      <c r="P7" t="n">
        <v>6</v>
      </c>
      <c r="Q7" s="3" t="n"/>
      <c r="S7" t="n">
        <v>6</v>
      </c>
      <c r="T7" s="3" t="n"/>
      <c r="V7" t="n">
        <v>6</v>
      </c>
      <c r="W7" s="3" t="n"/>
      <c r="Y7" t="n">
        <v>6</v>
      </c>
      <c r="Z7" s="3" t="n"/>
      <c r="AB7" t="n">
        <v>6</v>
      </c>
      <c r="AC7" s="3" t="n"/>
      <c r="AE7" t="n">
        <v>6</v>
      </c>
      <c r="AF7" s="3" t="n"/>
      <c r="AH7" t="n">
        <v>6</v>
      </c>
      <c r="AI7" s="3" t="n"/>
    </row>
    <row r="8">
      <c r="A8" t="n">
        <v>7</v>
      </c>
      <c r="B8" s="3" t="n">
        <v>-460</v>
      </c>
      <c r="D8" t="n">
        <v>7</v>
      </c>
      <c r="E8" s="3" t="n"/>
      <c r="G8" t="n">
        <v>7</v>
      </c>
      <c r="H8" s="3" t="n"/>
      <c r="J8" t="n">
        <v>7</v>
      </c>
      <c r="K8" s="3" t="n"/>
      <c r="M8" t="n">
        <v>7</v>
      </c>
      <c r="N8" s="3" t="n"/>
      <c r="P8" t="n">
        <v>7</v>
      </c>
      <c r="Q8" s="3" t="n"/>
      <c r="S8" t="n">
        <v>7</v>
      </c>
      <c r="T8" s="3" t="n"/>
      <c r="V8" t="n">
        <v>7</v>
      </c>
      <c r="W8" s="3" t="n"/>
      <c r="Y8" t="n">
        <v>7</v>
      </c>
      <c r="Z8" s="3" t="n"/>
      <c r="AB8" t="n">
        <v>7</v>
      </c>
      <c r="AC8" s="3" t="n"/>
      <c r="AE8" t="n">
        <v>7</v>
      </c>
      <c r="AF8" s="3" t="n"/>
      <c r="AH8" t="n">
        <v>7</v>
      </c>
      <c r="AI8" s="3" t="n"/>
    </row>
    <row r="9">
      <c r="A9" t="n">
        <v>8</v>
      </c>
      <c r="B9" s="3" t="n">
        <v>1930</v>
      </c>
      <c r="D9" t="n">
        <v>8</v>
      </c>
      <c r="E9" s="3" t="n"/>
      <c r="G9" t="n">
        <v>8</v>
      </c>
      <c r="H9" s="3" t="n"/>
      <c r="J9" t="n">
        <v>8</v>
      </c>
      <c r="K9" s="3" t="n"/>
      <c r="M9" t="n">
        <v>8</v>
      </c>
      <c r="N9" s="3" t="n"/>
      <c r="P9" t="n">
        <v>8</v>
      </c>
      <c r="Q9" s="3" t="n"/>
      <c r="S9" t="n">
        <v>8</v>
      </c>
      <c r="T9" s="3" t="n"/>
      <c r="V9" t="n">
        <v>8</v>
      </c>
      <c r="W9" s="3" t="n"/>
      <c r="Y9" t="n">
        <v>8</v>
      </c>
      <c r="Z9" s="3" t="n"/>
      <c r="AB9" t="n">
        <v>8</v>
      </c>
      <c r="AC9" s="3" t="n"/>
      <c r="AE9" t="n">
        <v>8</v>
      </c>
      <c r="AF9" s="3" t="n"/>
      <c r="AH9" t="n">
        <v>8</v>
      </c>
      <c r="AI9" s="3" t="n"/>
    </row>
    <row r="10">
      <c r="A10" t="n">
        <v>9</v>
      </c>
      <c r="B10" s="3" t="n">
        <v>5</v>
      </c>
      <c r="D10" t="n">
        <v>9</v>
      </c>
      <c r="E10" s="3" t="n">
        <v>-330</v>
      </c>
      <c r="G10" t="n">
        <v>9</v>
      </c>
      <c r="H10" s="3" t="n">
        <v>-80</v>
      </c>
      <c r="J10" t="n">
        <v>9</v>
      </c>
      <c r="K10" s="3" t="n"/>
      <c r="M10" t="n">
        <v>9</v>
      </c>
      <c r="N10" s="3" t="n"/>
      <c r="P10" t="n">
        <v>9</v>
      </c>
      <c r="Q10" s="3" t="n"/>
      <c r="S10" t="n">
        <v>9</v>
      </c>
      <c r="T10" s="3" t="n"/>
      <c r="V10" t="n">
        <v>9</v>
      </c>
      <c r="W10" s="3" t="n"/>
      <c r="Y10" t="n">
        <v>9</v>
      </c>
      <c r="Z10" s="3" t="n"/>
      <c r="AB10" t="n">
        <v>9</v>
      </c>
      <c r="AC10" s="3" t="n"/>
      <c r="AE10" t="n">
        <v>9</v>
      </c>
      <c r="AF10" s="3" t="n"/>
      <c r="AH10" t="n">
        <v>9</v>
      </c>
      <c r="AI10" s="3" t="n"/>
    </row>
    <row r="11">
      <c r="A11" t="n">
        <v>10</v>
      </c>
      <c r="D11" t="n">
        <v>10</v>
      </c>
      <c r="E11" s="3" t="n">
        <v>1350</v>
      </c>
      <c r="G11" t="n">
        <v>10</v>
      </c>
      <c r="H11" s="3" t="n">
        <v>-675</v>
      </c>
      <c r="J11" t="n">
        <v>10</v>
      </c>
      <c r="K11" s="3" t="n"/>
      <c r="M11" t="n">
        <v>10</v>
      </c>
      <c r="N11" s="3" t="n"/>
      <c r="P11" t="n">
        <v>10</v>
      </c>
      <c r="Q11" s="3" t="n"/>
      <c r="S11" t="n">
        <v>10</v>
      </c>
      <c r="T11" s="3" t="n"/>
      <c r="V11" t="n">
        <v>10</v>
      </c>
      <c r="W11" s="3" t="n"/>
      <c r="Y11" t="n">
        <v>10</v>
      </c>
      <c r="Z11" s="3" t="n"/>
      <c r="AB11" t="n">
        <v>10</v>
      </c>
      <c r="AC11" s="3" t="n"/>
      <c r="AE11" t="n">
        <v>10</v>
      </c>
      <c r="AF11" s="3" t="n"/>
      <c r="AH11" t="n">
        <v>10</v>
      </c>
      <c r="AI11" s="3" t="n"/>
    </row>
    <row r="12">
      <c r="A12" t="n">
        <v>11</v>
      </c>
      <c r="D12" t="n">
        <v>11</v>
      </c>
      <c r="E12" s="3" t="n">
        <v>1610</v>
      </c>
      <c r="G12" t="n">
        <v>11</v>
      </c>
      <c r="H12" s="3" t="n">
        <v>2075</v>
      </c>
      <c r="J12" t="n">
        <v>11</v>
      </c>
      <c r="K12" s="3" t="n"/>
      <c r="M12" t="n">
        <v>11</v>
      </c>
      <c r="N12" s="3" t="n"/>
      <c r="P12" t="n">
        <v>11</v>
      </c>
      <c r="Q12" s="3" t="n"/>
      <c r="S12" t="n">
        <v>11</v>
      </c>
      <c r="T12" s="3" t="n"/>
      <c r="V12" t="n">
        <v>11</v>
      </c>
      <c r="W12" s="3" t="n"/>
      <c r="Y12" t="n">
        <v>11</v>
      </c>
      <c r="Z12" s="3" t="n"/>
      <c r="AB12" t="n">
        <v>11</v>
      </c>
      <c r="AC12" s="3" t="n"/>
      <c r="AE12" t="n">
        <v>11</v>
      </c>
      <c r="AF12" s="3" t="n"/>
      <c r="AH12" t="n">
        <v>11</v>
      </c>
      <c r="AI12" s="3" t="n"/>
    </row>
    <row r="13">
      <c r="A13" t="n">
        <v>12</v>
      </c>
      <c r="B13" s="3" t="n">
        <v>60</v>
      </c>
      <c r="D13" t="n">
        <v>12</v>
      </c>
      <c r="E13" s="3" t="n">
        <v>-310</v>
      </c>
      <c r="G13" t="n">
        <v>12</v>
      </c>
      <c r="H13" s="3" t="n">
        <v>4275</v>
      </c>
      <c r="J13" t="n">
        <v>12</v>
      </c>
      <c r="K13" s="3" t="n"/>
      <c r="M13" t="n">
        <v>12</v>
      </c>
      <c r="N13" s="3" t="n"/>
      <c r="P13" t="n">
        <v>12</v>
      </c>
      <c r="Q13" s="3" t="n"/>
      <c r="S13" t="n">
        <v>12</v>
      </c>
      <c r="T13" s="3" t="n"/>
      <c r="V13" t="n">
        <v>12</v>
      </c>
      <c r="W13" s="3" t="n"/>
      <c r="Y13" t="n">
        <v>12</v>
      </c>
      <c r="Z13" s="3" t="n"/>
      <c r="AB13" t="n">
        <v>12</v>
      </c>
      <c r="AC13" s="3" t="n"/>
      <c r="AE13" t="n">
        <v>12</v>
      </c>
      <c r="AF13" s="3" t="n"/>
      <c r="AH13" t="n">
        <v>12</v>
      </c>
      <c r="AI13" s="3" t="n"/>
    </row>
    <row r="14">
      <c r="A14" t="n">
        <v>13</v>
      </c>
      <c r="B14" s="3" t="n">
        <v>-1060</v>
      </c>
      <c r="D14" t="n">
        <v>13</v>
      </c>
      <c r="E14" s="3" t="n">
        <v>1110</v>
      </c>
      <c r="G14" t="n">
        <v>13</v>
      </c>
      <c r="H14" s="3" t="n">
        <v>-1740</v>
      </c>
      <c r="J14" t="n">
        <v>13</v>
      </c>
      <c r="K14" s="3" t="n"/>
      <c r="M14" t="n">
        <v>13</v>
      </c>
      <c r="N14" s="3" t="n"/>
      <c r="P14" t="n">
        <v>13</v>
      </c>
      <c r="Q14" s="3" t="n"/>
      <c r="S14" t="n">
        <v>13</v>
      </c>
      <c r="T14" s="3" t="n"/>
      <c r="V14" t="n">
        <v>13</v>
      </c>
      <c r="W14" s="3" t="n"/>
      <c r="Y14" t="n">
        <v>13</v>
      </c>
      <c r="Z14" s="3" t="n"/>
      <c r="AB14" t="n">
        <v>13</v>
      </c>
      <c r="AC14" s="3" t="n"/>
      <c r="AE14" t="n">
        <v>13</v>
      </c>
      <c r="AF14" s="3" t="n"/>
      <c r="AH14" t="n">
        <v>13</v>
      </c>
      <c r="AI14" s="3" t="n"/>
    </row>
    <row r="15">
      <c r="A15" t="n">
        <v>14</v>
      </c>
      <c r="B15" s="3" t="n">
        <v>-1305</v>
      </c>
      <c r="D15" t="n">
        <v>14</v>
      </c>
      <c r="E15" s="3" t="n"/>
      <c r="G15" t="n">
        <v>14</v>
      </c>
      <c r="H15" s="3" t="n"/>
      <c r="J15" t="n">
        <v>14</v>
      </c>
      <c r="K15" s="3" t="n"/>
      <c r="M15" t="n">
        <v>14</v>
      </c>
      <c r="N15" s="3" t="n"/>
      <c r="P15" t="n">
        <v>14</v>
      </c>
      <c r="Q15" s="3" t="n"/>
      <c r="S15" t="n">
        <v>14</v>
      </c>
      <c r="T15" s="3" t="n"/>
      <c r="V15" t="n">
        <v>14</v>
      </c>
      <c r="W15" s="3" t="n"/>
      <c r="Y15" t="n">
        <v>14</v>
      </c>
      <c r="Z15" s="3" t="n"/>
      <c r="AB15" t="n">
        <v>14</v>
      </c>
      <c r="AC15" s="3" t="n"/>
      <c r="AE15" t="n">
        <v>14</v>
      </c>
      <c r="AF15" s="3" t="n"/>
      <c r="AH15" t="n">
        <v>14</v>
      </c>
      <c r="AI15" s="3" t="n"/>
    </row>
    <row r="16">
      <c r="A16" t="n">
        <v>15</v>
      </c>
      <c r="B16" s="3" t="n">
        <v>-820</v>
      </c>
      <c r="D16" t="n">
        <v>15</v>
      </c>
      <c r="E16" s="3" t="n"/>
      <c r="G16" t="n">
        <v>15</v>
      </c>
      <c r="H16" s="3" t="n"/>
      <c r="J16" t="n">
        <v>15</v>
      </c>
      <c r="K16" s="3" t="n"/>
      <c r="M16" t="n">
        <v>15</v>
      </c>
      <c r="N16" s="3" t="n"/>
      <c r="P16" t="n">
        <v>15</v>
      </c>
      <c r="Q16" s="3" t="n"/>
      <c r="S16" t="n">
        <v>15</v>
      </c>
      <c r="T16" s="3" t="n"/>
      <c r="V16" t="n">
        <v>15</v>
      </c>
      <c r="W16" s="3" t="n"/>
      <c r="Y16" t="n">
        <v>15</v>
      </c>
      <c r="Z16" s="3" t="n"/>
      <c r="AB16" t="n">
        <v>15</v>
      </c>
      <c r="AC16" s="3" t="n"/>
      <c r="AE16" t="n">
        <v>15</v>
      </c>
      <c r="AF16" s="3" t="n"/>
      <c r="AH16" t="n">
        <v>15</v>
      </c>
      <c r="AI16" s="3" t="n"/>
    </row>
    <row r="17">
      <c r="A17" t="n">
        <v>16</v>
      </c>
      <c r="B17" s="3" t="n">
        <v>320</v>
      </c>
      <c r="D17" t="n">
        <v>16</v>
      </c>
      <c r="E17" s="3" t="n"/>
      <c r="G17" t="n">
        <v>16</v>
      </c>
      <c r="H17" s="3" t="n">
        <v>-675</v>
      </c>
      <c r="J17" t="n">
        <v>16</v>
      </c>
      <c r="K17" s="3" t="n"/>
      <c r="M17" t="n">
        <v>16</v>
      </c>
      <c r="N17" s="3" t="n"/>
      <c r="P17" t="n">
        <v>16</v>
      </c>
      <c r="Q17" s="3" t="n"/>
      <c r="S17" t="n">
        <v>16</v>
      </c>
      <c r="T17" s="3" t="n"/>
      <c r="V17" t="n">
        <v>16</v>
      </c>
      <c r="W17" s="3" t="n"/>
      <c r="Y17" t="n">
        <v>16</v>
      </c>
      <c r="Z17" s="3" t="n"/>
      <c r="AB17" t="n">
        <v>16</v>
      </c>
      <c r="AC17" s="3" t="n"/>
      <c r="AE17" t="n">
        <v>16</v>
      </c>
      <c r="AF17" s="3" t="n"/>
      <c r="AH17" t="n">
        <v>16</v>
      </c>
      <c r="AI17" s="3" t="n"/>
    </row>
    <row r="18">
      <c r="A18" t="n">
        <v>17</v>
      </c>
      <c r="D18" t="n">
        <v>17</v>
      </c>
      <c r="E18" s="3" t="n">
        <v>65</v>
      </c>
      <c r="G18" t="n">
        <v>17</v>
      </c>
      <c r="H18" s="3" t="n">
        <v>2870</v>
      </c>
      <c r="J18" t="n">
        <v>17</v>
      </c>
      <c r="K18" s="3" t="n"/>
      <c r="M18" t="n">
        <v>17</v>
      </c>
      <c r="N18" s="3" t="n"/>
      <c r="P18" t="n">
        <v>17</v>
      </c>
      <c r="Q18" s="3" t="n"/>
      <c r="S18" t="n">
        <v>17</v>
      </c>
      <c r="T18" s="3" t="n"/>
      <c r="V18" t="n">
        <v>17</v>
      </c>
      <c r="W18" s="3" t="n"/>
      <c r="Y18" t="n">
        <v>17</v>
      </c>
      <c r="Z18" s="3" t="n"/>
      <c r="AB18" t="n">
        <v>17</v>
      </c>
      <c r="AC18" s="3" t="n"/>
      <c r="AE18" t="n">
        <v>17</v>
      </c>
      <c r="AF18" s="3" t="n"/>
      <c r="AH18" t="n">
        <v>17</v>
      </c>
      <c r="AI18" s="3" t="n"/>
    </row>
    <row r="19">
      <c r="A19" t="n">
        <v>18</v>
      </c>
      <c r="D19" t="n">
        <v>18</v>
      </c>
      <c r="E19" s="3" t="n">
        <v>-10</v>
      </c>
      <c r="G19" t="n">
        <v>18</v>
      </c>
      <c r="H19" s="3" t="n">
        <v>465</v>
      </c>
      <c r="J19" t="n">
        <v>18</v>
      </c>
      <c r="K19" s="3" t="n"/>
      <c r="M19" t="n">
        <v>18</v>
      </c>
      <c r="N19" s="3" t="n"/>
      <c r="P19" t="n">
        <v>18</v>
      </c>
      <c r="Q19" s="3" t="n"/>
      <c r="S19" t="n">
        <v>18</v>
      </c>
      <c r="T19" s="3" t="n"/>
      <c r="V19" t="n">
        <v>18</v>
      </c>
      <c r="W19" s="3" t="n"/>
      <c r="Y19" t="n">
        <v>18</v>
      </c>
      <c r="Z19" s="3" t="n"/>
      <c r="AB19" t="n">
        <v>18</v>
      </c>
      <c r="AC19" s="3" t="n"/>
      <c r="AE19" t="n">
        <v>18</v>
      </c>
      <c r="AF19" s="3" t="n"/>
      <c r="AH19" t="n">
        <v>18</v>
      </c>
      <c r="AI19" s="3" t="n"/>
    </row>
    <row r="20">
      <c r="A20" t="n">
        <v>19</v>
      </c>
      <c r="D20" t="n">
        <v>19</v>
      </c>
      <c r="E20" s="3" t="n">
        <v>430</v>
      </c>
      <c r="G20" t="n">
        <v>19</v>
      </c>
      <c r="H20" s="3" t="n">
        <v>1825</v>
      </c>
      <c r="J20" t="n">
        <v>19</v>
      </c>
      <c r="K20" s="3" t="n"/>
      <c r="M20" t="n">
        <v>19</v>
      </c>
      <c r="N20" s="3" t="n"/>
      <c r="P20" t="n">
        <v>19</v>
      </c>
      <c r="Q20" s="3" t="n"/>
      <c r="S20" t="n">
        <v>19</v>
      </c>
      <c r="T20" s="3" t="n"/>
      <c r="V20" t="n">
        <v>19</v>
      </c>
      <c r="W20" s="3" t="n"/>
      <c r="Y20" t="n">
        <v>19</v>
      </c>
      <c r="Z20" s="3" t="n"/>
      <c r="AB20" t="n">
        <v>19</v>
      </c>
      <c r="AC20" s="3" t="n"/>
      <c r="AE20" t="n">
        <v>19</v>
      </c>
      <c r="AF20" s="3" t="n"/>
      <c r="AH20" t="n">
        <v>19</v>
      </c>
      <c r="AI20" s="3" t="n"/>
    </row>
    <row r="21">
      <c r="A21" t="n">
        <v>20</v>
      </c>
      <c r="B21" s="3" t="n">
        <v>975</v>
      </c>
      <c r="D21" t="n">
        <v>20</v>
      </c>
      <c r="E21" s="3" t="n">
        <v>-340</v>
      </c>
      <c r="G21" t="n">
        <v>20</v>
      </c>
      <c r="H21" s="3" t="n">
        <v>-3680</v>
      </c>
      <c r="J21" t="n">
        <v>20</v>
      </c>
      <c r="K21" s="3" t="n"/>
      <c r="M21" t="n">
        <v>20</v>
      </c>
      <c r="N21" s="3" t="n"/>
      <c r="P21" t="n">
        <v>20</v>
      </c>
      <c r="Q21" s="3" t="n"/>
      <c r="S21" t="n">
        <v>20</v>
      </c>
      <c r="T21" s="3" t="n"/>
      <c r="V21" t="n">
        <v>20</v>
      </c>
      <c r="W21" s="3" t="n"/>
      <c r="Y21" t="n">
        <v>20</v>
      </c>
      <c r="Z21" s="3" t="n"/>
      <c r="AB21" t="n">
        <v>20</v>
      </c>
      <c r="AC21" s="3" t="n"/>
      <c r="AE21" t="n">
        <v>20</v>
      </c>
      <c r="AF21" s="3" t="n"/>
      <c r="AH21" t="n">
        <v>20</v>
      </c>
      <c r="AI21" s="3" t="n"/>
    </row>
    <row r="22">
      <c r="A22" t="n">
        <v>21</v>
      </c>
      <c r="B22" s="3" t="n">
        <v>-670</v>
      </c>
      <c r="D22" t="n">
        <v>21</v>
      </c>
      <c r="E22" s="3" t="n"/>
      <c r="G22" t="n">
        <v>21</v>
      </c>
      <c r="H22" s="3" t="n"/>
      <c r="J22" t="n">
        <v>21</v>
      </c>
      <c r="K22" s="3" t="n"/>
      <c r="M22" t="n">
        <v>21</v>
      </c>
      <c r="N22" s="3" t="n"/>
      <c r="P22" t="n">
        <v>21</v>
      </c>
      <c r="Q22" s="3" t="n"/>
      <c r="S22" t="n">
        <v>21</v>
      </c>
      <c r="T22" s="3" t="n"/>
      <c r="V22" t="n">
        <v>21</v>
      </c>
      <c r="W22" s="3" t="n"/>
      <c r="Y22" t="n">
        <v>21</v>
      </c>
      <c r="Z22" s="3" t="n"/>
      <c r="AB22" t="n">
        <v>21</v>
      </c>
      <c r="AC22" s="3" t="n"/>
      <c r="AE22" t="n">
        <v>21</v>
      </c>
      <c r="AF22" s="3" t="n"/>
      <c r="AH22" t="n">
        <v>21</v>
      </c>
      <c r="AI22" s="3" t="n"/>
    </row>
    <row r="23">
      <c r="A23" t="n">
        <v>22</v>
      </c>
      <c r="B23" s="3" t="n">
        <v>1200</v>
      </c>
      <c r="D23" t="n">
        <v>22</v>
      </c>
      <c r="E23" s="3" t="n"/>
      <c r="G23" t="n">
        <v>22</v>
      </c>
      <c r="H23" s="3" t="n"/>
      <c r="J23" t="n">
        <v>22</v>
      </c>
      <c r="K23" s="3" t="n"/>
      <c r="M23" t="n">
        <v>22</v>
      </c>
      <c r="N23" s="3" t="n"/>
      <c r="P23" t="n">
        <v>22</v>
      </c>
      <c r="Q23" s="3" t="n"/>
      <c r="S23" t="n">
        <v>22</v>
      </c>
      <c r="T23" s="3" t="n"/>
      <c r="V23" t="n">
        <v>22</v>
      </c>
      <c r="W23" s="3" t="n"/>
      <c r="Y23" t="n">
        <v>22</v>
      </c>
      <c r="Z23" s="3" t="n"/>
      <c r="AB23" t="n">
        <v>22</v>
      </c>
      <c r="AC23" s="3" t="n"/>
      <c r="AE23" t="n">
        <v>22</v>
      </c>
      <c r="AF23" s="3" t="n"/>
      <c r="AH23" t="n">
        <v>22</v>
      </c>
      <c r="AI23" s="3" t="n"/>
    </row>
    <row r="24">
      <c r="A24" t="n">
        <v>23</v>
      </c>
      <c r="B24" s="3" t="n">
        <v>-1060</v>
      </c>
      <c r="D24" t="n">
        <v>23</v>
      </c>
      <c r="E24" s="3" t="n">
        <v>2560</v>
      </c>
      <c r="G24" t="n">
        <v>23</v>
      </c>
      <c r="H24" s="3" t="n">
        <v>-2310</v>
      </c>
      <c r="J24" t="n">
        <v>23</v>
      </c>
      <c r="K24" s="3" t="n"/>
      <c r="M24" t="n">
        <v>23</v>
      </c>
      <c r="N24" s="3" t="n"/>
      <c r="P24" t="n">
        <v>23</v>
      </c>
      <c r="Q24" s="3" t="n"/>
      <c r="S24" t="n">
        <v>23</v>
      </c>
      <c r="T24" s="3" t="n"/>
      <c r="V24" t="n">
        <v>23</v>
      </c>
      <c r="W24" s="3" t="n"/>
      <c r="Y24" t="n">
        <v>23</v>
      </c>
      <c r="Z24" s="3" t="n"/>
      <c r="AB24" t="n">
        <v>23</v>
      </c>
      <c r="AC24" s="3" t="n"/>
      <c r="AE24" t="n">
        <v>23</v>
      </c>
      <c r="AF24" s="3" t="n"/>
      <c r="AH24" t="n">
        <v>23</v>
      </c>
      <c r="AI24" s="3" t="n"/>
    </row>
    <row r="25">
      <c r="A25" t="n">
        <v>24</v>
      </c>
      <c r="D25" t="n">
        <v>24</v>
      </c>
      <c r="E25" s="3" t="n">
        <v>1060</v>
      </c>
      <c r="G25" t="n">
        <v>24</v>
      </c>
      <c r="H25" s="3" t="n">
        <v>-1265</v>
      </c>
      <c r="J25" t="n">
        <v>24</v>
      </c>
      <c r="K25" s="3" t="n"/>
      <c r="M25" t="n">
        <v>24</v>
      </c>
      <c r="N25" s="3" t="n"/>
      <c r="P25" t="n">
        <v>24</v>
      </c>
      <c r="Q25" s="3" t="n"/>
      <c r="S25" t="n">
        <v>24</v>
      </c>
      <c r="T25" s="3" t="n"/>
      <c r="V25" t="n">
        <v>24</v>
      </c>
      <c r="W25" s="3" t="n"/>
      <c r="Y25" t="n">
        <v>24</v>
      </c>
      <c r="Z25" s="3" t="n"/>
      <c r="AB25" t="n">
        <v>24</v>
      </c>
      <c r="AC25" s="3" t="n"/>
      <c r="AE25" t="n">
        <v>24</v>
      </c>
      <c r="AF25" s="3" t="n"/>
      <c r="AH25" t="n">
        <v>24</v>
      </c>
      <c r="AI25" s="3" t="n"/>
    </row>
    <row r="26">
      <c r="A26" t="n">
        <v>25</v>
      </c>
      <c r="D26" t="n">
        <v>25</v>
      </c>
      <c r="E26" s="3" t="n">
        <v>60</v>
      </c>
      <c r="G26" t="n">
        <v>25</v>
      </c>
      <c r="H26" s="3" t="n">
        <v>3190</v>
      </c>
      <c r="J26" t="n">
        <v>25</v>
      </c>
      <c r="K26" s="3" t="n"/>
      <c r="M26" t="n">
        <v>25</v>
      </c>
      <c r="N26" s="3" t="n"/>
      <c r="P26" t="n">
        <v>25</v>
      </c>
      <c r="Q26" s="3" t="n"/>
      <c r="S26" t="n">
        <v>25</v>
      </c>
      <c r="T26" s="3" t="n"/>
      <c r="V26" t="n">
        <v>25</v>
      </c>
      <c r="W26" s="3" t="n"/>
      <c r="Y26" t="n">
        <v>25</v>
      </c>
      <c r="Z26" s="3" t="n"/>
      <c r="AB26" t="n">
        <v>25</v>
      </c>
      <c r="AC26" s="3" t="n"/>
      <c r="AE26" t="n">
        <v>25</v>
      </c>
      <c r="AF26" s="3" t="n"/>
      <c r="AH26" t="n">
        <v>25</v>
      </c>
      <c r="AI26" s="3" t="n"/>
    </row>
    <row r="27">
      <c r="A27" t="n">
        <v>26</v>
      </c>
      <c r="B27" s="3" t="n">
        <v>1290</v>
      </c>
      <c r="D27" t="n">
        <v>26</v>
      </c>
      <c r="E27" s="3" t="n">
        <v>760</v>
      </c>
      <c r="G27" t="n">
        <v>26</v>
      </c>
      <c r="H27" s="3" t="n">
        <v>95</v>
      </c>
      <c r="J27" t="n">
        <v>26</v>
      </c>
      <c r="K27" s="3" t="n"/>
      <c r="M27" t="n">
        <v>26</v>
      </c>
      <c r="N27" s="3" t="n"/>
      <c r="P27" t="n">
        <v>26</v>
      </c>
      <c r="Q27" s="3" t="n"/>
      <c r="S27" t="n">
        <v>26</v>
      </c>
      <c r="T27" s="3" t="n"/>
      <c r="V27" t="n">
        <v>26</v>
      </c>
      <c r="W27" s="3" t="n"/>
      <c r="Y27" t="n">
        <v>26</v>
      </c>
      <c r="Z27" s="3" t="n"/>
      <c r="AB27" t="n">
        <v>26</v>
      </c>
      <c r="AC27" s="3" t="n"/>
      <c r="AE27" t="n">
        <v>26</v>
      </c>
      <c r="AF27" s="3" t="n"/>
      <c r="AH27" t="n">
        <v>26</v>
      </c>
      <c r="AI27" s="3" t="n"/>
    </row>
    <row r="28">
      <c r="A28" t="n">
        <v>27</v>
      </c>
      <c r="B28" s="3" t="n">
        <v>450</v>
      </c>
      <c r="D28" t="n">
        <v>27</v>
      </c>
      <c r="E28" s="3" t="n">
        <v>140</v>
      </c>
      <c r="G28" t="n">
        <v>27</v>
      </c>
      <c r="H28" s="3" t="n">
        <v>-2810</v>
      </c>
      <c r="J28" t="n">
        <v>27</v>
      </c>
      <c r="K28" s="3" t="n"/>
      <c r="M28" t="n">
        <v>27</v>
      </c>
      <c r="N28" s="3" t="n"/>
      <c r="P28" t="n">
        <v>27</v>
      </c>
      <c r="Q28" s="3" t="n"/>
      <c r="S28" t="n">
        <v>27</v>
      </c>
      <c r="T28" s="3" t="n"/>
      <c r="V28" t="n">
        <v>27</v>
      </c>
      <c r="W28" s="3" t="n"/>
      <c r="Y28" t="n">
        <v>27</v>
      </c>
      <c r="Z28" s="3" t="n"/>
      <c r="AB28" t="n">
        <v>27</v>
      </c>
      <c r="AC28" s="3" t="n"/>
      <c r="AE28" t="n">
        <v>27</v>
      </c>
      <c r="AF28" s="3" t="n"/>
      <c r="AH28" t="n">
        <v>27</v>
      </c>
      <c r="AI28" s="3" t="n"/>
    </row>
    <row r="29">
      <c r="A29" t="n">
        <v>28</v>
      </c>
      <c r="D29" t="n">
        <v>28</v>
      </c>
      <c r="E29" s="3" t="n"/>
      <c r="G29" t="n">
        <v>28</v>
      </c>
      <c r="H29" s="3" t="n"/>
      <c r="J29" t="n">
        <v>28</v>
      </c>
      <c r="K29" s="3" t="n"/>
      <c r="M29" t="n">
        <v>28</v>
      </c>
      <c r="N29" s="3" t="n"/>
      <c r="P29" t="n">
        <v>28</v>
      </c>
      <c r="Q29" s="3" t="n"/>
      <c r="S29" t="n">
        <v>28</v>
      </c>
      <c r="T29" s="3" t="n"/>
      <c r="V29" t="n">
        <v>28</v>
      </c>
      <c r="W29" s="3" t="n"/>
      <c r="Y29" t="n">
        <v>28</v>
      </c>
      <c r="Z29" s="3" t="n"/>
      <c r="AB29" t="n">
        <v>28</v>
      </c>
      <c r="AC29" s="3" t="n"/>
      <c r="AE29" t="n">
        <v>28</v>
      </c>
      <c r="AF29" s="3" t="n"/>
      <c r="AH29" t="n">
        <v>28</v>
      </c>
      <c r="AI29" s="3" t="n"/>
    </row>
    <row r="30">
      <c r="A30" t="n">
        <v>29</v>
      </c>
      <c r="B30" s="3" t="n">
        <v>1100</v>
      </c>
      <c r="D30" t="n">
        <v>29</v>
      </c>
      <c r="E30" s="3" t="n"/>
      <c r="G30" t="n">
        <v>29</v>
      </c>
      <c r="H30" s="3" t="n"/>
      <c r="J30" t="n">
        <v>29</v>
      </c>
      <c r="K30" s="3" t="n"/>
      <c r="M30" t="n">
        <v>29</v>
      </c>
      <c r="N30" s="3" t="n"/>
      <c r="P30" t="n">
        <v>29</v>
      </c>
      <c r="Q30" s="3" t="n"/>
      <c r="S30" t="n">
        <v>29</v>
      </c>
      <c r="T30" s="3" t="n"/>
      <c r="V30" t="n">
        <v>29</v>
      </c>
      <c r="W30" s="3" t="n"/>
      <c r="Y30" t="n">
        <v>29</v>
      </c>
      <c r="Z30" s="3" t="n"/>
      <c r="AB30" t="n">
        <v>29</v>
      </c>
      <c r="AC30" s="3" t="n"/>
      <c r="AE30" t="n">
        <v>29</v>
      </c>
      <c r="AF30" s="3" t="n"/>
      <c r="AH30" t="n">
        <v>29</v>
      </c>
      <c r="AI30" s="3" t="n"/>
    </row>
    <row r="31">
      <c r="A31" t="n">
        <v>30</v>
      </c>
      <c r="B31" s="3" t="n">
        <v>-2830</v>
      </c>
      <c r="D31" t="n">
        <v>30</v>
      </c>
      <c r="E31" s="3" t="n"/>
      <c r="G31" t="n">
        <v>30</v>
      </c>
      <c r="H31" s="3" t="n">
        <v>1425</v>
      </c>
      <c r="J31" t="n">
        <v>30</v>
      </c>
      <c r="K31" s="3" t="n"/>
      <c r="M31" t="n">
        <v>30</v>
      </c>
      <c r="N31" s="3" t="n"/>
      <c r="P31" t="n">
        <v>30</v>
      </c>
      <c r="S31" t="n">
        <v>30</v>
      </c>
      <c r="V31" t="n">
        <v>30</v>
      </c>
      <c r="Y31" t="n">
        <v>30</v>
      </c>
      <c r="AB31" t="n">
        <v>30</v>
      </c>
      <c r="AC31" s="3" t="n"/>
      <c r="AE31" t="n">
        <v>30</v>
      </c>
      <c r="AF31" s="3" t="n"/>
      <c r="AH31" t="n">
        <v>30</v>
      </c>
      <c r="AI31" s="3" t="n"/>
    </row>
    <row r="32">
      <c r="A32" t="n">
        <v>31</v>
      </c>
      <c r="D32" t="n">
        <v>31</v>
      </c>
      <c r="E32" s="3" t="n"/>
      <c r="G32" t="n">
        <v>31</v>
      </c>
      <c r="H32" s="3" t="n">
        <v>480</v>
      </c>
      <c r="J32" t="n">
        <v>31</v>
      </c>
      <c r="K32" s="3" t="n"/>
      <c r="M32" t="n">
        <v>31</v>
      </c>
      <c r="N32" s="3" t="n"/>
      <c r="P32" t="n">
        <v>31</v>
      </c>
      <c r="S32" t="n">
        <v>31</v>
      </c>
      <c r="V32" t="n">
        <v>31</v>
      </c>
      <c r="Y32" t="n">
        <v>31</v>
      </c>
      <c r="AB32" t="n">
        <v>31</v>
      </c>
      <c r="AC32" s="3" t="n"/>
      <c r="AE32" t="n">
        <v>31</v>
      </c>
      <c r="AF32" s="3" t="n"/>
      <c r="AH32" t="n">
        <v>31</v>
      </c>
      <c r="AI32" s="3" t="n"/>
    </row>
    <row r="33">
      <c r="E33" s="3" t="n"/>
      <c r="H33" s="3" t="n"/>
    </row>
    <row r="34">
      <c r="E34" s="3" t="n"/>
      <c r="H34" s="3" t="n"/>
    </row>
    <row r="35">
      <c r="A35" t="inlineStr">
        <is>
          <t>Total</t>
        </is>
      </c>
      <c r="B35" s="3">
        <f>SUM(B2:B34)</f>
        <v/>
      </c>
      <c r="E35" s="3">
        <f>SUM(E2:E28)</f>
        <v/>
      </c>
      <c r="H35" s="3">
        <f>SUM(H2:H34)</f>
        <v/>
      </c>
      <c r="K35" s="3">
        <f>SUM(K2:K34)</f>
        <v/>
      </c>
      <c r="N35" s="3">
        <f>SUM(N2:N34)</f>
        <v/>
      </c>
      <c r="Q35" s="3">
        <f>SUM(Q2:Q34)</f>
        <v/>
      </c>
      <c r="T35" s="3">
        <f>SUM(T2:T34)</f>
        <v/>
      </c>
      <c r="W35" s="3">
        <f>SUM(W2:W34)</f>
        <v/>
      </c>
      <c r="Z35" s="3">
        <f>SUM(Z2:Z34)</f>
        <v/>
      </c>
      <c r="AC35" s="3">
        <f>SUM(AC2:AC34)</f>
        <v/>
      </c>
      <c r="AF35" s="3">
        <f>SUM(AF2:AF34)</f>
        <v/>
      </c>
      <c r="AI35" s="3">
        <f>SUM(AI2:AI34)</f>
        <v/>
      </c>
    </row>
  </sheetData>
  <mergeCells count="3">
    <mergeCell ref="D1:E1"/>
    <mergeCell ref="G1:H1"/>
    <mergeCell ref="A1:B1"/>
  </mergeCells>
  <conditionalFormatting sqref="B2:B32">
    <cfRule type="cellIs" priority="43" operator="lessThan" dxfId="1">
      <formula>0</formula>
    </cfRule>
    <cfRule type="cellIs" priority="44" operator="greaterThan" dxfId="0">
      <formula>0</formula>
    </cfRule>
  </conditionalFormatting>
  <conditionalFormatting sqref="B35">
    <cfRule type="cellIs" priority="42" operator="greaterThan" dxfId="0">
      <formula>0</formula>
    </cfRule>
    <cfRule type="cellIs" priority="41" operator="lessThan" dxfId="1">
      <formula>0</formula>
    </cfRule>
  </conditionalFormatting>
  <conditionalFormatting sqref="E2:E35">
    <cfRule type="cellIs" priority="39" operator="lessThan" dxfId="1">
      <formula>0</formula>
    </cfRule>
    <cfRule type="cellIs" priority="40" operator="greaterThan" dxfId="0">
      <formula>0</formula>
    </cfRule>
  </conditionalFormatting>
  <conditionalFormatting sqref="H2:H35">
    <cfRule type="cellIs" priority="34" operator="greaterThan" dxfId="0">
      <formula>0</formula>
    </cfRule>
    <cfRule type="cellIs" priority="33" operator="lessThan" dxfId="1">
      <formula>0</formula>
    </cfRule>
  </conditionalFormatting>
  <conditionalFormatting sqref="K2:K32">
    <cfRule type="cellIs" priority="38" operator="greaterThan" dxfId="0">
      <formula>0</formula>
    </cfRule>
    <cfRule type="cellIs" priority="37" operator="lessThan" dxfId="1">
      <formula>0</formula>
    </cfRule>
  </conditionalFormatting>
  <conditionalFormatting sqref="K35">
    <cfRule type="cellIs" priority="36" operator="greaterThan" dxfId="0">
      <formula>0</formula>
    </cfRule>
    <cfRule type="cellIs" priority="35" operator="lessThan" dxfId="1">
      <formula>0</formula>
    </cfRule>
  </conditionalFormatting>
  <conditionalFormatting sqref="N2:N32">
    <cfRule type="cellIs" priority="32" operator="greaterThan" dxfId="0">
      <formula>0</formula>
    </cfRule>
    <cfRule type="cellIs" priority="31" operator="lessThan" dxfId="1">
      <formula>0</formula>
    </cfRule>
  </conditionalFormatting>
  <conditionalFormatting sqref="N35">
    <cfRule type="cellIs" priority="30" operator="greaterThan" dxfId="0">
      <formula>0</formula>
    </cfRule>
    <cfRule type="cellIs" priority="29" operator="lessThan" dxfId="1">
      <formula>0</formula>
    </cfRule>
  </conditionalFormatting>
  <conditionalFormatting sqref="Q2:Q30">
    <cfRule type="cellIs" priority="28" operator="greaterThan" dxfId="0">
      <formula>0</formula>
    </cfRule>
    <cfRule type="cellIs" priority="27" operator="lessThan" dxfId="1">
      <formula>0</formula>
    </cfRule>
  </conditionalFormatting>
  <conditionalFormatting sqref="Q35">
    <cfRule type="cellIs" priority="26" operator="greaterThan" dxfId="0">
      <formula>0</formula>
    </cfRule>
    <cfRule type="cellIs" priority="25" operator="lessThan" dxfId="1">
      <formula>0</formula>
    </cfRule>
  </conditionalFormatting>
  <conditionalFormatting sqref="T2:T30">
    <cfRule type="cellIs" priority="23" operator="lessThan" dxfId="1">
      <formula>0</formula>
    </cfRule>
    <cfRule type="cellIs" priority="24" operator="greaterThan" dxfId="0">
      <formula>0</formula>
    </cfRule>
  </conditionalFormatting>
  <conditionalFormatting sqref="T35">
    <cfRule type="cellIs" priority="22" operator="greaterThan" dxfId="0">
      <formula>0</formula>
    </cfRule>
    <cfRule type="cellIs" priority="21" operator="lessThan" dxfId="1">
      <formula>0</formula>
    </cfRule>
  </conditionalFormatting>
  <conditionalFormatting sqref="W2:W30">
    <cfRule type="cellIs" priority="20" operator="greaterThan" dxfId="0">
      <formula>0</formula>
    </cfRule>
    <cfRule type="cellIs" priority="19" operator="lessThan" dxfId="1">
      <formula>0</formula>
    </cfRule>
  </conditionalFormatting>
  <conditionalFormatting sqref="W35">
    <cfRule type="cellIs" priority="18" operator="greaterThan" dxfId="0">
      <formula>0</formula>
    </cfRule>
    <cfRule type="cellIs" priority="17" operator="lessThan" dxfId="1">
      <formula>0</formula>
    </cfRule>
  </conditionalFormatting>
  <conditionalFormatting sqref="Z2:Z30">
    <cfRule type="cellIs" priority="16" operator="greaterThan" dxfId="0">
      <formula>0</formula>
    </cfRule>
    <cfRule type="cellIs" priority="15" operator="lessThan" dxfId="1">
      <formula>0</formula>
    </cfRule>
  </conditionalFormatting>
  <conditionalFormatting sqref="Z35">
    <cfRule type="cellIs" priority="14" operator="greaterThan" dxfId="0">
      <formula>0</formula>
    </cfRule>
    <cfRule type="cellIs" priority="13" operator="lessThan" dxfId="1">
      <formula>0</formula>
    </cfRule>
  </conditionalFormatting>
  <conditionalFormatting sqref="AC2:AC32">
    <cfRule type="cellIs" priority="11" operator="lessThan" dxfId="1">
      <formula>0</formula>
    </cfRule>
    <cfRule type="cellIs" priority="12" operator="greaterThan" dxfId="0">
      <formula>0</formula>
    </cfRule>
  </conditionalFormatting>
  <conditionalFormatting sqref="AC35">
    <cfRule type="cellIs" priority="10" operator="greaterThan" dxfId="0">
      <formula>0</formula>
    </cfRule>
    <cfRule type="cellIs" priority="9" operator="lessThan" dxfId="1">
      <formula>0</formula>
    </cfRule>
  </conditionalFormatting>
  <conditionalFormatting sqref="AF2:AF32">
    <cfRule type="cellIs" priority="8" operator="greaterThan" dxfId="0">
      <formula>0</formula>
    </cfRule>
    <cfRule type="cellIs" priority="7" operator="lessThan" dxfId="1">
      <formula>0</formula>
    </cfRule>
  </conditionalFormatting>
  <conditionalFormatting sqref="AF35">
    <cfRule type="cellIs" priority="6" operator="greaterThan" dxfId="0">
      <formula>0</formula>
    </cfRule>
    <cfRule type="cellIs" priority="5" operator="lessThan" dxfId="1">
      <formula>0</formula>
    </cfRule>
  </conditionalFormatting>
  <conditionalFormatting sqref="AI2:AI32">
    <cfRule type="cellIs" priority="4" operator="greaterThan" dxfId="0">
      <formula>0</formula>
    </cfRule>
    <cfRule type="cellIs" priority="3" operator="lessThan" dxfId="1">
      <formula>0</formula>
    </cfRule>
  </conditionalFormatting>
  <conditionalFormatting sqref="AI35">
    <cfRule type="cellIs" priority="2" operator="greaterThan" dxfId="0">
      <formula>0</formula>
    </cfRule>
    <cfRule type="cellIs" priority="1" operator="lessThan" dxfId="1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selection activeCell="B35" sqref="B35:K35"/>
    </sheetView>
  </sheetViews>
  <sheetFormatPr baseColWidth="8" defaultRowHeight="15"/>
  <cols>
    <col width="18.42578125" customWidth="1" min="1" max="1"/>
    <col width="15.42578125" customWidth="1" style="3" min="2" max="2"/>
    <col width="11.5703125" customWidth="1" min="4" max="4"/>
    <col width="12.5703125" customWidth="1" min="5" max="5"/>
    <col width="11.5703125" customWidth="1" min="7" max="7"/>
    <col width="12.5703125" customWidth="1" min="8" max="8"/>
    <col width="11.5703125" customWidth="1" min="10" max="10"/>
    <col width="10.140625" bestFit="1" customWidth="1" min="11" max="11"/>
    <col width="10.42578125" bestFit="1" customWidth="1" min="13" max="13"/>
    <col width="10.85546875" bestFit="1" customWidth="1" min="14" max="14"/>
    <col width="10.85546875" bestFit="1" customWidth="1" min="17" max="17"/>
    <col width="10.85546875" bestFit="1" customWidth="1" min="20" max="20"/>
    <col width="10.85546875" bestFit="1" customWidth="1" min="23" max="23"/>
    <col width="10.85546875" bestFit="1" customWidth="1" min="26" max="26"/>
    <col width="10.85546875" bestFit="1" customWidth="1" min="29" max="29"/>
    <col width="10.85546875" bestFit="1" customWidth="1" min="32" max="32"/>
    <col width="10.140625" bestFit="1" customWidth="1" min="35" max="35"/>
  </cols>
  <sheetData>
    <row r="1" customFormat="1" s="2">
      <c r="A1" s="9" t="inlineStr">
        <is>
          <t>January</t>
        </is>
      </c>
      <c r="D1" s="9" t="inlineStr">
        <is>
          <t>February</t>
        </is>
      </c>
      <c r="G1" s="9" t="inlineStr">
        <is>
          <t>March</t>
        </is>
      </c>
      <c r="J1" s="2" t="inlineStr">
        <is>
          <t>April</t>
        </is>
      </c>
      <c r="M1" s="2" t="inlineStr">
        <is>
          <t>May</t>
        </is>
      </c>
      <c r="P1" s="2" t="inlineStr">
        <is>
          <t>Jun</t>
        </is>
      </c>
      <c r="S1" s="2" t="inlineStr">
        <is>
          <t>Jul</t>
        </is>
      </c>
      <c r="V1" s="2" t="inlineStr">
        <is>
          <t>Aug</t>
        </is>
      </c>
      <c r="Y1" s="2" t="inlineStr">
        <is>
          <t>Sep</t>
        </is>
      </c>
      <c r="AB1" s="2" t="inlineStr">
        <is>
          <t>Oct</t>
        </is>
      </c>
      <c r="AE1" s="2" t="inlineStr">
        <is>
          <t>Nov</t>
        </is>
      </c>
      <c r="AH1" s="2" t="inlineStr">
        <is>
          <t>Dec</t>
        </is>
      </c>
    </row>
    <row r="2">
      <c r="A2" t="n">
        <v>1</v>
      </c>
      <c r="D2" t="n">
        <v>1</v>
      </c>
      <c r="E2" s="3" t="n"/>
      <c r="G2" t="n">
        <v>1</v>
      </c>
      <c r="H2" s="3" t="n"/>
      <c r="J2" t="n">
        <v>1</v>
      </c>
      <c r="K2" s="3" t="n"/>
      <c r="M2" t="n">
        <v>1</v>
      </c>
      <c r="N2" s="3" t="n"/>
      <c r="P2" t="n">
        <v>1</v>
      </c>
      <c r="Q2" s="3" t="n"/>
      <c r="S2" t="n">
        <v>1</v>
      </c>
      <c r="T2" s="3" t="n"/>
      <c r="V2" t="n">
        <v>1</v>
      </c>
      <c r="W2" s="3" t="n"/>
      <c r="Y2" t="n">
        <v>1</v>
      </c>
      <c r="Z2" s="3" t="n"/>
      <c r="AB2" t="n">
        <v>1</v>
      </c>
      <c r="AC2" s="3" t="n"/>
      <c r="AE2" t="n">
        <v>1</v>
      </c>
      <c r="AF2" s="3" t="n"/>
      <c r="AH2" t="n">
        <v>1</v>
      </c>
      <c r="AI2" s="3" t="n"/>
    </row>
    <row r="3">
      <c r="A3" t="n">
        <v>2</v>
      </c>
      <c r="B3" s="3">
        <f>-590-1300</f>
        <v/>
      </c>
      <c r="D3" t="n">
        <v>2</v>
      </c>
      <c r="E3" s="3">
        <f>795-235</f>
        <v/>
      </c>
      <c r="G3" t="n">
        <v>2</v>
      </c>
      <c r="H3" s="3" t="n">
        <v>1081</v>
      </c>
      <c r="J3" t="n">
        <v>2</v>
      </c>
      <c r="K3" s="3" t="n"/>
      <c r="M3" t="n">
        <v>2</v>
      </c>
      <c r="N3" s="3" t="n"/>
      <c r="P3" t="n">
        <v>2</v>
      </c>
      <c r="Q3" s="3" t="n"/>
      <c r="S3" t="n">
        <v>2</v>
      </c>
      <c r="T3" s="3" t="n"/>
      <c r="V3" t="n">
        <v>2</v>
      </c>
      <c r="W3" s="3" t="n"/>
      <c r="Y3" t="n">
        <v>2</v>
      </c>
      <c r="Z3" s="3" t="n"/>
      <c r="AB3" t="n">
        <v>2</v>
      </c>
      <c r="AC3" s="3" t="n"/>
      <c r="AE3" t="n">
        <v>2</v>
      </c>
      <c r="AF3" s="3" t="n"/>
      <c r="AH3" t="n">
        <v>2</v>
      </c>
      <c r="AI3" s="3" t="n"/>
    </row>
    <row r="4">
      <c r="A4" t="n">
        <v>3</v>
      </c>
      <c r="D4" t="n">
        <v>3</v>
      </c>
      <c r="E4" s="3" t="n">
        <v>-385</v>
      </c>
      <c r="G4" t="n">
        <v>3</v>
      </c>
      <c r="H4" s="3">
        <f>-1240+7376</f>
        <v/>
      </c>
      <c r="J4" t="n">
        <v>3</v>
      </c>
      <c r="K4" s="3" t="n"/>
      <c r="M4" t="n">
        <v>3</v>
      </c>
      <c r="N4" s="3" t="n"/>
      <c r="P4" t="n">
        <v>3</v>
      </c>
      <c r="Q4" s="3" t="n"/>
      <c r="S4" t="n">
        <v>3</v>
      </c>
      <c r="T4" s="3" t="n"/>
      <c r="V4" t="n">
        <v>3</v>
      </c>
      <c r="W4" s="3" t="n"/>
      <c r="Y4" t="n">
        <v>3</v>
      </c>
      <c r="Z4" s="3" t="n"/>
      <c r="AB4" t="n">
        <v>3</v>
      </c>
      <c r="AC4" s="3" t="n"/>
      <c r="AE4" t="n">
        <v>3</v>
      </c>
      <c r="AF4" s="3" t="n"/>
      <c r="AH4" t="n">
        <v>3</v>
      </c>
      <c r="AI4" s="3" t="n"/>
    </row>
    <row r="5">
      <c r="A5" t="n">
        <v>4</v>
      </c>
      <c r="D5" t="n">
        <v>4</v>
      </c>
      <c r="E5" s="3" t="n">
        <v>1710</v>
      </c>
      <c r="G5" t="n">
        <v>4</v>
      </c>
      <c r="H5" s="3" t="n">
        <v>3350</v>
      </c>
      <c r="J5" t="n">
        <v>4</v>
      </c>
      <c r="K5" s="3" t="n"/>
      <c r="M5" t="n">
        <v>4</v>
      </c>
      <c r="N5" s="3" t="n"/>
      <c r="P5" t="n">
        <v>4</v>
      </c>
      <c r="Q5" s="3" t="n"/>
      <c r="S5" t="n">
        <v>4</v>
      </c>
      <c r="T5" s="3" t="n"/>
      <c r="V5" t="n">
        <v>4</v>
      </c>
      <c r="W5" s="3" t="n"/>
      <c r="Y5" t="n">
        <v>4</v>
      </c>
      <c r="Z5" s="3" t="n"/>
      <c r="AB5" t="n">
        <v>4</v>
      </c>
      <c r="AC5" s="3" t="n"/>
      <c r="AE5" t="n">
        <v>4</v>
      </c>
      <c r="AF5" s="3" t="n"/>
      <c r="AH5" t="n">
        <v>4</v>
      </c>
      <c r="AI5" s="3" t="n"/>
    </row>
    <row r="6">
      <c r="A6" t="n">
        <v>5</v>
      </c>
      <c r="B6" s="3" t="n">
        <v>570</v>
      </c>
      <c r="D6" t="n">
        <v>5</v>
      </c>
      <c r="E6" s="3">
        <f>-1600+1050</f>
        <v/>
      </c>
      <c r="G6" t="n">
        <v>5</v>
      </c>
      <c r="H6" s="3">
        <f>-2263-2845</f>
        <v/>
      </c>
      <c r="J6" t="n">
        <v>5</v>
      </c>
      <c r="K6" s="3" t="n"/>
      <c r="M6" t="n">
        <v>5</v>
      </c>
      <c r="N6" s="3" t="n"/>
      <c r="P6" t="n">
        <v>5</v>
      </c>
      <c r="Q6" s="3" t="n"/>
      <c r="S6" t="n">
        <v>5</v>
      </c>
      <c r="T6" s="3" t="n"/>
      <c r="V6" t="n">
        <v>5</v>
      </c>
      <c r="W6" s="3" t="n"/>
      <c r="Y6" t="n">
        <v>5</v>
      </c>
      <c r="Z6" s="3" t="n"/>
      <c r="AB6" t="n">
        <v>5</v>
      </c>
      <c r="AC6" s="3" t="n"/>
      <c r="AE6" t="n">
        <v>5</v>
      </c>
      <c r="AF6" s="3" t="n"/>
      <c r="AH6" t="n">
        <v>5</v>
      </c>
      <c r="AI6" s="3" t="n"/>
    </row>
    <row r="7">
      <c r="A7" t="n">
        <v>6</v>
      </c>
      <c r="B7" s="3" t="n">
        <v>1010</v>
      </c>
      <c r="D7" t="n">
        <v>6</v>
      </c>
      <c r="E7" s="3" t="n">
        <v>2850</v>
      </c>
      <c r="G7" t="n">
        <v>6</v>
      </c>
      <c r="H7" s="3">
        <f>-604-5158</f>
        <v/>
      </c>
      <c r="J7" t="n">
        <v>6</v>
      </c>
      <c r="K7" s="3" t="n"/>
      <c r="M7" t="n">
        <v>6</v>
      </c>
      <c r="N7" s="3" t="n"/>
      <c r="P7" t="n">
        <v>6</v>
      </c>
      <c r="Q7" s="3" t="n"/>
      <c r="S7" t="n">
        <v>6</v>
      </c>
      <c r="T7" s="3" t="n"/>
      <c r="V7" t="n">
        <v>6</v>
      </c>
      <c r="W7" s="3" t="n"/>
      <c r="Y7" t="n">
        <v>6</v>
      </c>
      <c r="Z7" s="3" t="n"/>
      <c r="AB7" t="n">
        <v>6</v>
      </c>
      <c r="AC7" s="3" t="n"/>
      <c r="AE7" t="n">
        <v>6</v>
      </c>
      <c r="AF7" s="3" t="n"/>
      <c r="AH7" t="n">
        <v>6</v>
      </c>
      <c r="AI7" s="3" t="n"/>
    </row>
    <row r="8">
      <c r="A8" t="n">
        <v>7</v>
      </c>
      <c r="B8" s="3" t="n">
        <v>-2932</v>
      </c>
      <c r="D8" t="n">
        <v>7</v>
      </c>
      <c r="E8" s="3" t="n"/>
      <c r="G8" t="n">
        <v>7</v>
      </c>
      <c r="H8" s="3" t="n"/>
      <c r="J8" t="n">
        <v>7</v>
      </c>
      <c r="K8" s="3" t="n"/>
      <c r="M8" t="n">
        <v>7</v>
      </c>
      <c r="N8" s="3" t="n"/>
      <c r="P8" t="n">
        <v>7</v>
      </c>
      <c r="Q8" s="3" t="n"/>
      <c r="S8" t="n">
        <v>7</v>
      </c>
      <c r="T8" s="3" t="n"/>
      <c r="V8" t="n">
        <v>7</v>
      </c>
      <c r="W8" s="3" t="n"/>
      <c r="Y8" t="n">
        <v>7</v>
      </c>
      <c r="Z8" s="3" t="n"/>
      <c r="AB8" t="n">
        <v>7</v>
      </c>
      <c r="AC8" s="3" t="n"/>
      <c r="AE8" t="n">
        <v>7</v>
      </c>
      <c r="AF8" s="3" t="n"/>
      <c r="AH8" t="n">
        <v>7</v>
      </c>
      <c r="AI8" s="3" t="n"/>
    </row>
    <row r="9">
      <c r="A9" t="n">
        <v>8</v>
      </c>
      <c r="B9" s="3" t="n">
        <v>-335</v>
      </c>
      <c r="D9" t="n">
        <v>8</v>
      </c>
      <c r="E9" s="3" t="n"/>
      <c r="G9" t="n">
        <v>8</v>
      </c>
      <c r="H9" s="3" t="n"/>
      <c r="J9" t="n">
        <v>8</v>
      </c>
      <c r="K9" s="3" t="n"/>
      <c r="M9" t="n">
        <v>8</v>
      </c>
      <c r="N9" s="3" t="n"/>
      <c r="P9" t="n">
        <v>8</v>
      </c>
      <c r="Q9" s="3" t="n"/>
      <c r="S9" t="n">
        <v>8</v>
      </c>
      <c r="T9" s="3" t="n"/>
      <c r="V9" t="n">
        <v>8</v>
      </c>
      <c r="W9" s="3" t="n"/>
      <c r="Y9" t="n">
        <v>8</v>
      </c>
      <c r="Z9" s="3" t="n"/>
      <c r="AB9" t="n">
        <v>8</v>
      </c>
      <c r="AC9" s="3" t="n"/>
      <c r="AE9" t="n">
        <v>8</v>
      </c>
      <c r="AF9" s="3" t="n"/>
      <c r="AH9" t="n">
        <v>8</v>
      </c>
      <c r="AI9" s="3" t="n"/>
    </row>
    <row r="10">
      <c r="A10" t="n">
        <v>9</v>
      </c>
      <c r="B10" s="3" t="n">
        <v>-350</v>
      </c>
      <c r="D10" t="n">
        <v>9</v>
      </c>
      <c r="E10" s="3" t="n">
        <v>2325</v>
      </c>
      <c r="G10" t="n">
        <v>9</v>
      </c>
      <c r="H10" s="3" t="n">
        <v>1190</v>
      </c>
      <c r="J10" t="n">
        <v>9</v>
      </c>
      <c r="K10" s="3" t="n"/>
      <c r="M10" t="n">
        <v>9</v>
      </c>
      <c r="N10" s="3" t="n"/>
      <c r="P10" t="n">
        <v>9</v>
      </c>
      <c r="Q10" s="3" t="n"/>
      <c r="S10" t="n">
        <v>9</v>
      </c>
      <c r="T10" s="3" t="n"/>
      <c r="V10" t="n">
        <v>9</v>
      </c>
      <c r="W10" s="3" t="n"/>
      <c r="Y10" t="n">
        <v>9</v>
      </c>
      <c r="Z10" s="3" t="n"/>
      <c r="AB10" t="n">
        <v>9</v>
      </c>
      <c r="AC10" s="3" t="n"/>
      <c r="AE10" t="n">
        <v>9</v>
      </c>
      <c r="AF10" s="3" t="n"/>
      <c r="AH10" t="n">
        <v>9</v>
      </c>
      <c r="AI10" s="3" t="n"/>
    </row>
    <row r="11">
      <c r="A11" t="n">
        <v>10</v>
      </c>
      <c r="D11" t="n">
        <v>10</v>
      </c>
      <c r="E11" s="3" t="n">
        <v>50</v>
      </c>
      <c r="G11" t="n">
        <v>10</v>
      </c>
      <c r="H11" s="3">
        <f>1955-915</f>
        <v/>
      </c>
      <c r="J11" t="n">
        <v>10</v>
      </c>
      <c r="K11" s="3" t="n"/>
      <c r="M11" t="n">
        <v>10</v>
      </c>
      <c r="N11" s="3" t="n"/>
      <c r="P11" t="n">
        <v>10</v>
      </c>
      <c r="Q11" s="3" t="n"/>
      <c r="S11" t="n">
        <v>10</v>
      </c>
      <c r="T11" s="3" t="n"/>
      <c r="V11" t="n">
        <v>10</v>
      </c>
      <c r="W11" s="3" t="n"/>
      <c r="Y11" t="n">
        <v>10</v>
      </c>
      <c r="Z11" s="3" t="n"/>
      <c r="AB11" t="n">
        <v>10</v>
      </c>
      <c r="AC11" s="3" t="n"/>
      <c r="AE11" t="n">
        <v>10</v>
      </c>
      <c r="AF11" s="3" t="n"/>
      <c r="AH11" t="n">
        <v>10</v>
      </c>
      <c r="AI11" s="3" t="n"/>
    </row>
    <row r="12">
      <c r="A12" t="n">
        <v>11</v>
      </c>
      <c r="D12" t="n">
        <v>11</v>
      </c>
      <c r="E12" s="3" t="n">
        <v>890</v>
      </c>
      <c r="G12" t="n">
        <v>11</v>
      </c>
      <c r="H12" s="3" t="n">
        <v>-2305</v>
      </c>
      <c r="J12" t="n">
        <v>11</v>
      </c>
      <c r="K12" s="3" t="n"/>
      <c r="M12" t="n">
        <v>11</v>
      </c>
      <c r="N12" s="3" t="n"/>
      <c r="P12" t="n">
        <v>11</v>
      </c>
      <c r="Q12" s="3" t="n"/>
      <c r="S12" t="n">
        <v>11</v>
      </c>
      <c r="T12" s="3" t="n"/>
      <c r="V12" t="n">
        <v>11</v>
      </c>
      <c r="W12" s="3" t="n"/>
      <c r="Y12" t="n">
        <v>11</v>
      </c>
      <c r="Z12" s="3" t="n"/>
      <c r="AB12" t="n">
        <v>11</v>
      </c>
      <c r="AC12" s="3" t="n"/>
      <c r="AE12" t="n">
        <v>11</v>
      </c>
      <c r="AF12" s="3" t="n"/>
      <c r="AH12" t="n">
        <v>11</v>
      </c>
      <c r="AI12" s="3" t="n"/>
    </row>
    <row r="13">
      <c r="A13" t="n">
        <v>12</v>
      </c>
      <c r="B13" s="3" t="n">
        <v>10</v>
      </c>
      <c r="D13" t="n">
        <v>12</v>
      </c>
      <c r="E13" s="3">
        <f>-2155+2245</f>
        <v/>
      </c>
      <c r="G13" t="n">
        <v>12</v>
      </c>
      <c r="H13" s="3" t="n"/>
      <c r="J13" t="n">
        <v>12</v>
      </c>
      <c r="K13" s="3" t="n"/>
      <c r="M13" t="n">
        <v>12</v>
      </c>
      <c r="N13" s="3" t="n"/>
      <c r="P13" t="n">
        <v>12</v>
      </c>
      <c r="Q13" s="3" t="n"/>
      <c r="S13" t="n">
        <v>12</v>
      </c>
      <c r="T13" s="3" t="n"/>
      <c r="V13" t="n">
        <v>12</v>
      </c>
      <c r="W13" s="3" t="n"/>
      <c r="Y13" t="n">
        <v>12</v>
      </c>
      <c r="Z13" s="3" t="n"/>
      <c r="AB13" t="n">
        <v>12</v>
      </c>
      <c r="AC13" s="3" t="n"/>
      <c r="AE13" t="n">
        <v>12</v>
      </c>
      <c r="AF13" s="3" t="n"/>
      <c r="AH13" t="n">
        <v>12</v>
      </c>
      <c r="AI13" s="3" t="n"/>
    </row>
    <row r="14">
      <c r="A14" t="n">
        <v>13</v>
      </c>
      <c r="B14" s="3" t="n">
        <v>-2060</v>
      </c>
      <c r="D14" t="n">
        <v>13</v>
      </c>
      <c r="E14" s="3" t="n"/>
      <c r="G14" t="n">
        <v>13</v>
      </c>
      <c r="H14" s="3" t="n">
        <v>60</v>
      </c>
      <c r="J14" t="n">
        <v>13</v>
      </c>
      <c r="K14" s="3" t="n"/>
      <c r="M14" t="n">
        <v>13</v>
      </c>
      <c r="N14" s="3" t="n"/>
      <c r="P14" t="n">
        <v>13</v>
      </c>
      <c r="Q14" s="3" t="n"/>
      <c r="S14" t="n">
        <v>13</v>
      </c>
      <c r="T14" s="3" t="n"/>
      <c r="V14" t="n">
        <v>13</v>
      </c>
      <c r="W14" s="3" t="n"/>
      <c r="Y14" t="n">
        <v>13</v>
      </c>
      <c r="Z14" s="3" t="n"/>
      <c r="AB14" t="n">
        <v>13</v>
      </c>
      <c r="AC14" s="3" t="n"/>
      <c r="AE14" t="n">
        <v>13</v>
      </c>
      <c r="AF14" s="3" t="n"/>
      <c r="AH14" t="n">
        <v>13</v>
      </c>
      <c r="AI14" s="3" t="n"/>
    </row>
    <row r="15">
      <c r="A15" t="n">
        <v>14</v>
      </c>
      <c r="B15" s="3" t="n">
        <v>1695</v>
      </c>
      <c r="D15" t="n">
        <v>14</v>
      </c>
      <c r="E15" s="3" t="n"/>
      <c r="G15" t="n">
        <v>14</v>
      </c>
      <c r="H15" s="3" t="n"/>
      <c r="J15" t="n">
        <v>14</v>
      </c>
      <c r="K15" s="3" t="n"/>
      <c r="M15" t="n">
        <v>14</v>
      </c>
      <c r="N15" s="3" t="n"/>
      <c r="P15" t="n">
        <v>14</v>
      </c>
      <c r="Q15" s="3" t="n"/>
      <c r="S15" t="n">
        <v>14</v>
      </c>
      <c r="T15" s="3" t="n"/>
      <c r="V15" t="n">
        <v>14</v>
      </c>
      <c r="W15" s="3" t="n"/>
      <c r="Y15" t="n">
        <v>14</v>
      </c>
      <c r="Z15" s="3" t="n"/>
      <c r="AB15" t="n">
        <v>14</v>
      </c>
      <c r="AC15" s="3" t="n"/>
      <c r="AE15" t="n">
        <v>14</v>
      </c>
      <c r="AF15" s="3" t="n"/>
      <c r="AH15" t="n">
        <v>14</v>
      </c>
      <c r="AI15" s="3" t="n"/>
    </row>
    <row r="16">
      <c r="A16" t="n">
        <v>15</v>
      </c>
      <c r="D16" t="n">
        <v>15</v>
      </c>
      <c r="E16" s="3" t="n"/>
      <c r="G16" t="n">
        <v>15</v>
      </c>
      <c r="H16" s="3" t="n"/>
      <c r="J16" t="n">
        <v>15</v>
      </c>
      <c r="K16" s="3" t="n"/>
      <c r="M16" t="n">
        <v>15</v>
      </c>
      <c r="N16" s="3" t="n"/>
      <c r="P16" t="n">
        <v>15</v>
      </c>
      <c r="Q16" s="3" t="n"/>
      <c r="S16" t="n">
        <v>15</v>
      </c>
      <c r="T16" s="3" t="n"/>
      <c r="V16" t="n">
        <v>15</v>
      </c>
      <c r="W16" s="3" t="n"/>
      <c r="Y16" t="n">
        <v>15</v>
      </c>
      <c r="Z16" s="3" t="n"/>
      <c r="AB16" t="n">
        <v>15</v>
      </c>
      <c r="AC16" s="3" t="n"/>
      <c r="AE16" t="n">
        <v>15</v>
      </c>
      <c r="AF16" s="3" t="n"/>
      <c r="AH16" t="n">
        <v>15</v>
      </c>
      <c r="AI16" s="3" t="n"/>
    </row>
    <row r="17">
      <c r="A17" t="n">
        <v>16</v>
      </c>
      <c r="B17" s="3" t="n">
        <v>285</v>
      </c>
      <c r="D17" t="n">
        <v>16</v>
      </c>
      <c r="E17" s="3" t="n"/>
      <c r="G17" t="n">
        <v>16</v>
      </c>
      <c r="H17" s="3" t="n"/>
      <c r="J17" t="n">
        <v>16</v>
      </c>
      <c r="K17" s="3" t="n"/>
      <c r="M17" t="n">
        <v>16</v>
      </c>
      <c r="N17" s="3" t="n"/>
      <c r="P17" t="n">
        <v>16</v>
      </c>
      <c r="Q17" s="3" t="n"/>
      <c r="S17" t="n">
        <v>16</v>
      </c>
      <c r="T17" s="3" t="n"/>
      <c r="V17" t="n">
        <v>16</v>
      </c>
      <c r="W17" s="3" t="n"/>
      <c r="Y17" t="n">
        <v>16</v>
      </c>
      <c r="Z17" s="3" t="n"/>
      <c r="AB17" t="n">
        <v>16</v>
      </c>
      <c r="AC17" s="3" t="n"/>
      <c r="AE17" t="n">
        <v>16</v>
      </c>
      <c r="AF17" s="3" t="n"/>
      <c r="AH17" t="n">
        <v>16</v>
      </c>
      <c r="AI17" s="3" t="n"/>
    </row>
    <row r="18">
      <c r="A18" t="n">
        <v>17</v>
      </c>
      <c r="D18" t="n">
        <v>17</v>
      </c>
      <c r="E18" s="3" t="n"/>
      <c r="G18" t="n">
        <v>17</v>
      </c>
      <c r="H18" s="3">
        <f>-418-605</f>
        <v/>
      </c>
      <c r="J18" t="n">
        <v>17</v>
      </c>
      <c r="K18" s="3" t="n"/>
      <c r="M18" t="n">
        <v>17</v>
      </c>
      <c r="N18" s="3" t="n"/>
      <c r="P18" t="n">
        <v>17</v>
      </c>
      <c r="Q18" s="3" t="n"/>
      <c r="S18" t="n">
        <v>17</v>
      </c>
      <c r="T18" s="3" t="n"/>
      <c r="V18" t="n">
        <v>17</v>
      </c>
      <c r="W18" s="3" t="n"/>
      <c r="Y18" t="n">
        <v>17</v>
      </c>
      <c r="Z18" s="3" t="n"/>
      <c r="AB18" t="n">
        <v>17</v>
      </c>
      <c r="AC18" s="3" t="n"/>
      <c r="AE18" t="n">
        <v>17</v>
      </c>
      <c r="AF18" s="3" t="n"/>
      <c r="AH18" t="n">
        <v>17</v>
      </c>
      <c r="AI18" s="3" t="n"/>
    </row>
    <row r="19">
      <c r="A19" t="n">
        <v>18</v>
      </c>
      <c r="D19" t="n">
        <v>18</v>
      </c>
      <c r="E19" s="3" t="n"/>
      <c r="G19" t="n">
        <v>18</v>
      </c>
      <c r="H19" s="3" t="n"/>
      <c r="J19" t="n">
        <v>18</v>
      </c>
      <c r="K19" s="3" t="n"/>
      <c r="M19" t="n">
        <v>18</v>
      </c>
      <c r="N19" s="3" t="n"/>
      <c r="P19" t="n">
        <v>18</v>
      </c>
      <c r="Q19" s="3" t="n"/>
      <c r="S19" t="n">
        <v>18</v>
      </c>
      <c r="T19" s="3" t="n"/>
      <c r="V19" t="n">
        <v>18</v>
      </c>
      <c r="W19" s="3" t="n"/>
      <c r="Y19" t="n">
        <v>18</v>
      </c>
      <c r="Z19" s="3" t="n"/>
      <c r="AB19" t="n">
        <v>18</v>
      </c>
      <c r="AC19" s="3" t="n"/>
      <c r="AE19" t="n">
        <v>18</v>
      </c>
      <c r="AF19" s="3" t="n"/>
      <c r="AH19" t="n">
        <v>18</v>
      </c>
      <c r="AI19" s="3" t="n"/>
    </row>
    <row r="20">
      <c r="A20" t="n">
        <v>19</v>
      </c>
      <c r="D20" t="n">
        <v>19</v>
      </c>
      <c r="E20" s="3">
        <f>-580+35</f>
        <v/>
      </c>
      <c r="G20" t="n">
        <v>19</v>
      </c>
      <c r="H20" s="3" t="n">
        <v>1100</v>
      </c>
      <c r="J20" t="n">
        <v>19</v>
      </c>
      <c r="K20" s="3" t="n"/>
      <c r="M20" t="n">
        <v>19</v>
      </c>
      <c r="N20" s="3" t="n"/>
      <c r="P20" t="n">
        <v>19</v>
      </c>
      <c r="Q20" s="3" t="n"/>
      <c r="S20" t="n">
        <v>19</v>
      </c>
      <c r="T20" s="3" t="n"/>
      <c r="V20" t="n">
        <v>19</v>
      </c>
      <c r="W20" s="3" t="n"/>
      <c r="Y20" t="n">
        <v>19</v>
      </c>
      <c r="Z20" s="3" t="n"/>
      <c r="AB20" t="n">
        <v>19</v>
      </c>
      <c r="AC20" s="3" t="n"/>
      <c r="AE20" t="n">
        <v>19</v>
      </c>
      <c r="AF20" s="3" t="n"/>
      <c r="AH20" t="n">
        <v>19</v>
      </c>
      <c r="AI20" s="3" t="n"/>
    </row>
    <row r="21">
      <c r="A21" t="n">
        <v>20</v>
      </c>
      <c r="B21" s="3">
        <f>-645+5660</f>
        <v/>
      </c>
      <c r="D21" t="n">
        <v>20</v>
      </c>
      <c r="E21" s="3">
        <f>325-4580</f>
        <v/>
      </c>
      <c r="G21" t="n">
        <v>20</v>
      </c>
      <c r="H21" s="3" t="n">
        <v>-3440</v>
      </c>
      <c r="J21" t="n">
        <v>20</v>
      </c>
      <c r="K21" s="3" t="n"/>
      <c r="M21" t="n">
        <v>20</v>
      </c>
      <c r="N21" s="3" t="n"/>
      <c r="P21" t="n">
        <v>20</v>
      </c>
      <c r="Q21" s="3" t="n"/>
      <c r="S21" t="n">
        <v>20</v>
      </c>
      <c r="T21" s="3" t="n"/>
      <c r="V21" t="n">
        <v>20</v>
      </c>
      <c r="W21" s="3" t="n"/>
      <c r="Y21" t="n">
        <v>20</v>
      </c>
      <c r="Z21" s="3" t="n"/>
      <c r="AB21" t="n">
        <v>20</v>
      </c>
      <c r="AC21" s="3" t="n"/>
      <c r="AE21" t="n">
        <v>20</v>
      </c>
      <c r="AF21" s="3" t="n"/>
      <c r="AH21" t="n">
        <v>20</v>
      </c>
      <c r="AI21" s="3" t="n"/>
    </row>
    <row r="22">
      <c r="A22" t="n">
        <v>21</v>
      </c>
      <c r="B22" s="3" t="n">
        <v>2495</v>
      </c>
      <c r="D22" t="n">
        <v>21</v>
      </c>
      <c r="E22" s="3" t="n"/>
      <c r="G22" t="n">
        <v>21</v>
      </c>
      <c r="H22" s="3" t="n"/>
      <c r="J22" t="n">
        <v>21</v>
      </c>
      <c r="K22" s="3" t="n"/>
      <c r="M22" t="n">
        <v>21</v>
      </c>
      <c r="N22" s="3" t="n"/>
      <c r="P22" t="n">
        <v>21</v>
      </c>
      <c r="Q22" s="3" t="n"/>
      <c r="S22" t="n">
        <v>21</v>
      </c>
      <c r="T22" s="3" t="n"/>
      <c r="V22" t="n">
        <v>21</v>
      </c>
      <c r="W22" s="3" t="n"/>
      <c r="Y22" t="n">
        <v>21</v>
      </c>
      <c r="Z22" s="3" t="n"/>
      <c r="AB22" t="n">
        <v>21</v>
      </c>
      <c r="AC22" s="3" t="n"/>
      <c r="AE22" t="n">
        <v>21</v>
      </c>
      <c r="AF22" s="3" t="n"/>
      <c r="AH22" t="n">
        <v>21</v>
      </c>
      <c r="AI22" s="3" t="n"/>
    </row>
    <row r="23">
      <c r="A23" t="n">
        <v>22</v>
      </c>
      <c r="D23" t="n">
        <v>22</v>
      </c>
      <c r="E23" s="3" t="n"/>
      <c r="G23" t="n">
        <v>22</v>
      </c>
      <c r="H23" s="3" t="n"/>
      <c r="J23" t="n">
        <v>22</v>
      </c>
      <c r="K23" s="3" t="n"/>
      <c r="M23" t="n">
        <v>22</v>
      </c>
      <c r="N23" s="3" t="n"/>
      <c r="P23" t="n">
        <v>22</v>
      </c>
      <c r="Q23" s="3" t="n"/>
      <c r="S23" t="n">
        <v>22</v>
      </c>
      <c r="T23" s="3" t="n"/>
      <c r="V23" t="n">
        <v>22</v>
      </c>
      <c r="W23" s="3" t="n"/>
      <c r="Y23" t="n">
        <v>22</v>
      </c>
      <c r="Z23" s="3" t="n"/>
      <c r="AB23" t="n">
        <v>22</v>
      </c>
      <c r="AC23" s="3" t="n"/>
      <c r="AE23" t="n">
        <v>22</v>
      </c>
      <c r="AF23" s="3" t="n"/>
      <c r="AH23" t="n">
        <v>22</v>
      </c>
      <c r="AI23" s="3" t="n"/>
    </row>
    <row r="24">
      <c r="A24" t="n">
        <v>23</v>
      </c>
      <c r="B24" s="3" t="n">
        <v>335</v>
      </c>
      <c r="D24" t="n">
        <v>23</v>
      </c>
      <c r="E24" s="3">
        <f>-910+3775</f>
        <v/>
      </c>
      <c r="G24" t="n">
        <v>23</v>
      </c>
      <c r="H24" s="3" t="n">
        <v>1845</v>
      </c>
      <c r="J24" t="n">
        <v>23</v>
      </c>
      <c r="K24" s="3" t="n"/>
      <c r="M24" t="n">
        <v>23</v>
      </c>
      <c r="N24" s="3" t="n"/>
      <c r="P24" t="n">
        <v>23</v>
      </c>
      <c r="Q24" s="3" t="n"/>
      <c r="S24" t="n">
        <v>23</v>
      </c>
      <c r="T24" s="3" t="n"/>
      <c r="V24" t="n">
        <v>23</v>
      </c>
      <c r="W24" s="3" t="n"/>
      <c r="Y24" t="n">
        <v>23</v>
      </c>
      <c r="Z24" s="3" t="n"/>
      <c r="AB24" t="n">
        <v>23</v>
      </c>
      <c r="AC24" s="3" t="n"/>
      <c r="AE24" t="n">
        <v>23</v>
      </c>
      <c r="AF24" s="3" t="n"/>
      <c r="AH24" t="n">
        <v>23</v>
      </c>
      <c r="AI24" s="3" t="n"/>
    </row>
    <row r="25">
      <c r="A25" t="n">
        <v>24</v>
      </c>
      <c r="D25" t="n">
        <v>24</v>
      </c>
      <c r="E25" s="3" t="n">
        <v>2520</v>
      </c>
      <c r="G25" t="n">
        <v>24</v>
      </c>
      <c r="H25" s="3">
        <f>-2420+220</f>
        <v/>
      </c>
      <c r="J25" t="n">
        <v>24</v>
      </c>
      <c r="K25" s="3" t="n"/>
      <c r="M25" t="n">
        <v>24</v>
      </c>
      <c r="N25" s="3" t="n"/>
      <c r="P25" t="n">
        <v>24</v>
      </c>
      <c r="Q25" s="3" t="n"/>
      <c r="S25" t="n">
        <v>24</v>
      </c>
      <c r="T25" s="3" t="n"/>
      <c r="V25" t="n">
        <v>24</v>
      </c>
      <c r="W25" s="3" t="n"/>
      <c r="Y25" t="n">
        <v>24</v>
      </c>
      <c r="Z25" s="3" t="n"/>
      <c r="AB25" t="n">
        <v>24</v>
      </c>
      <c r="AC25" s="3" t="n"/>
      <c r="AE25" t="n">
        <v>24</v>
      </c>
      <c r="AF25" s="3" t="n"/>
      <c r="AH25" t="n">
        <v>24</v>
      </c>
      <c r="AI25" s="3" t="n"/>
    </row>
    <row r="26">
      <c r="A26" t="n">
        <v>25</v>
      </c>
      <c r="D26" t="n">
        <v>25</v>
      </c>
      <c r="E26" s="3" t="n">
        <v>1880</v>
      </c>
      <c r="G26" t="n">
        <v>25</v>
      </c>
      <c r="H26" s="3">
        <f>430+1004</f>
        <v/>
      </c>
      <c r="J26" t="n">
        <v>25</v>
      </c>
      <c r="K26" s="3" t="n"/>
      <c r="M26" t="n">
        <v>25</v>
      </c>
      <c r="N26" s="3" t="n"/>
      <c r="P26" t="n">
        <v>25</v>
      </c>
      <c r="Q26" s="3" t="n"/>
      <c r="S26" t="n">
        <v>25</v>
      </c>
      <c r="T26" s="3" t="n"/>
      <c r="V26" t="n">
        <v>25</v>
      </c>
      <c r="W26" s="3" t="n"/>
      <c r="Y26" t="n">
        <v>25</v>
      </c>
      <c r="Z26" s="3" t="n"/>
      <c r="AB26" t="n">
        <v>25</v>
      </c>
      <c r="AC26" s="3" t="n"/>
      <c r="AE26" t="n">
        <v>25</v>
      </c>
      <c r="AF26" s="3" t="n"/>
      <c r="AH26" t="n">
        <v>25</v>
      </c>
      <c r="AI26" s="3" t="n"/>
    </row>
    <row r="27">
      <c r="A27" t="n">
        <v>26</v>
      </c>
      <c r="B27" s="3" t="n">
        <v>135</v>
      </c>
      <c r="D27" t="n">
        <v>26</v>
      </c>
      <c r="E27" s="3" t="n"/>
      <c r="G27" t="n">
        <v>26</v>
      </c>
      <c r="H27" s="3">
        <f>3340+527</f>
        <v/>
      </c>
      <c r="J27" t="n">
        <v>26</v>
      </c>
      <c r="K27" s="3" t="n"/>
      <c r="M27" t="n">
        <v>26</v>
      </c>
      <c r="N27" s="3" t="n"/>
      <c r="P27" t="n">
        <v>26</v>
      </c>
      <c r="Q27" s="3" t="n"/>
      <c r="S27" t="n">
        <v>26</v>
      </c>
      <c r="T27" s="3" t="n"/>
      <c r="V27" t="n">
        <v>26</v>
      </c>
      <c r="W27" s="3" t="n"/>
      <c r="Y27" t="n">
        <v>26</v>
      </c>
      <c r="Z27" s="3" t="n"/>
      <c r="AB27" t="n">
        <v>26</v>
      </c>
      <c r="AC27" s="3" t="n"/>
      <c r="AE27" t="n">
        <v>26</v>
      </c>
      <c r="AF27" s="3" t="n"/>
      <c r="AH27" t="n">
        <v>26</v>
      </c>
      <c r="AI27" s="3" t="n"/>
    </row>
    <row r="28">
      <c r="A28" t="n">
        <v>27</v>
      </c>
      <c r="B28" s="3" t="n">
        <v>1616</v>
      </c>
      <c r="D28" t="n">
        <v>27</v>
      </c>
      <c r="E28" s="3">
        <f>-1060-414</f>
        <v/>
      </c>
      <c r="G28" t="n">
        <v>27</v>
      </c>
      <c r="H28" s="3" t="n">
        <v>1126</v>
      </c>
      <c r="J28" t="n">
        <v>27</v>
      </c>
      <c r="K28" s="3" t="n"/>
      <c r="M28" t="n">
        <v>27</v>
      </c>
      <c r="N28" s="3" t="n"/>
      <c r="P28" t="n">
        <v>27</v>
      </c>
      <c r="Q28" s="3" t="n"/>
      <c r="S28" t="n">
        <v>27</v>
      </c>
      <c r="T28" s="3" t="n"/>
      <c r="V28" t="n">
        <v>27</v>
      </c>
      <c r="W28" s="3" t="n"/>
      <c r="Y28" t="n">
        <v>27</v>
      </c>
      <c r="Z28" s="3" t="n"/>
      <c r="AB28" t="n">
        <v>27</v>
      </c>
      <c r="AC28" s="3" t="n"/>
      <c r="AE28" t="n">
        <v>27</v>
      </c>
      <c r="AF28" s="3" t="n"/>
      <c r="AH28" t="n">
        <v>27</v>
      </c>
      <c r="AI28" s="3" t="n"/>
    </row>
    <row r="29">
      <c r="A29" t="n">
        <v>28</v>
      </c>
      <c r="B29" s="3" t="n">
        <v>-460</v>
      </c>
      <c r="D29" t="n">
        <v>28</v>
      </c>
      <c r="E29" s="3" t="n"/>
      <c r="G29" t="n">
        <v>28</v>
      </c>
      <c r="H29" s="3" t="n"/>
      <c r="J29" t="n">
        <v>28</v>
      </c>
      <c r="K29" s="3" t="n"/>
      <c r="M29" t="n">
        <v>28</v>
      </c>
      <c r="N29" s="3" t="n"/>
      <c r="P29" t="n">
        <v>28</v>
      </c>
      <c r="Q29" s="3" t="n"/>
      <c r="S29" t="n">
        <v>28</v>
      </c>
      <c r="T29" s="3" t="n"/>
      <c r="V29" t="n">
        <v>28</v>
      </c>
      <c r="W29" s="3" t="n"/>
      <c r="Y29" t="n">
        <v>28</v>
      </c>
      <c r="Z29" s="3" t="n"/>
      <c r="AB29" t="n">
        <v>28</v>
      </c>
      <c r="AC29" s="3" t="n"/>
      <c r="AE29" t="n">
        <v>28</v>
      </c>
      <c r="AF29" s="3" t="n"/>
      <c r="AH29" t="n">
        <v>28</v>
      </c>
      <c r="AI29" s="3" t="n"/>
    </row>
    <row r="30">
      <c r="A30" t="n">
        <v>29</v>
      </c>
      <c r="B30" s="3">
        <f>2810+720-1095</f>
        <v/>
      </c>
      <c r="D30" t="n">
        <v>29</v>
      </c>
      <c r="E30" s="3" t="n"/>
      <c r="G30" t="n">
        <v>29</v>
      </c>
      <c r="H30" s="3" t="n"/>
      <c r="J30" t="n">
        <v>29</v>
      </c>
      <c r="K30" s="3" t="n"/>
      <c r="M30" t="n">
        <v>29</v>
      </c>
      <c r="N30" s="3" t="n"/>
      <c r="P30" t="n">
        <v>29</v>
      </c>
      <c r="Q30" s="3" t="n"/>
      <c r="S30" t="n">
        <v>29</v>
      </c>
      <c r="T30" s="3" t="n"/>
      <c r="V30" t="n">
        <v>29</v>
      </c>
      <c r="W30" s="3" t="n"/>
      <c r="Y30" t="n">
        <v>29</v>
      </c>
      <c r="Z30" s="3" t="n"/>
      <c r="AB30" t="n">
        <v>29</v>
      </c>
      <c r="AC30" s="3" t="n"/>
      <c r="AE30" t="n">
        <v>29</v>
      </c>
      <c r="AF30" s="3" t="n"/>
      <c r="AH30" t="n">
        <v>29</v>
      </c>
      <c r="AI30" s="3" t="n"/>
    </row>
    <row r="31">
      <c r="A31" t="n">
        <v>30</v>
      </c>
      <c r="B31" s="3">
        <f>-1270-2210</f>
        <v/>
      </c>
      <c r="D31" t="n">
        <v>30</v>
      </c>
      <c r="E31" s="3" t="n"/>
      <c r="G31" t="n">
        <v>30</v>
      </c>
      <c r="H31" s="3" t="n">
        <v>1783</v>
      </c>
      <c r="J31" t="n">
        <v>30</v>
      </c>
      <c r="K31" s="3" t="n"/>
      <c r="M31" t="n">
        <v>30</v>
      </c>
      <c r="N31" s="3" t="n"/>
      <c r="P31" t="n">
        <v>30</v>
      </c>
      <c r="S31" t="n">
        <v>30</v>
      </c>
      <c r="V31" t="n">
        <v>30</v>
      </c>
      <c r="Y31" t="n">
        <v>30</v>
      </c>
      <c r="AB31" t="n">
        <v>30</v>
      </c>
      <c r="AC31" s="3" t="n"/>
      <c r="AE31" t="n">
        <v>30</v>
      </c>
      <c r="AF31" s="3" t="n"/>
      <c r="AH31" t="n">
        <v>30</v>
      </c>
      <c r="AI31" s="3" t="n"/>
    </row>
    <row r="32">
      <c r="A32" t="n">
        <v>31</v>
      </c>
      <c r="D32" t="n">
        <v>31</v>
      </c>
      <c r="E32" s="3" t="n"/>
      <c r="G32" t="n">
        <v>31</v>
      </c>
      <c r="H32" s="3">
        <f>1390+2345</f>
        <v/>
      </c>
      <c r="J32" t="n">
        <v>31</v>
      </c>
      <c r="K32" s="3" t="n"/>
      <c r="M32" t="n">
        <v>31</v>
      </c>
      <c r="N32" s="3" t="n"/>
      <c r="P32" t="n">
        <v>31</v>
      </c>
      <c r="S32" t="n">
        <v>31</v>
      </c>
      <c r="V32" t="n">
        <v>31</v>
      </c>
      <c r="Y32" t="n">
        <v>31</v>
      </c>
      <c r="AB32" t="n">
        <v>31</v>
      </c>
      <c r="AC32" s="3" t="n"/>
      <c r="AE32" t="n">
        <v>31</v>
      </c>
      <c r="AF32" s="3" t="n"/>
      <c r="AH32" t="n">
        <v>31</v>
      </c>
      <c r="AI32" s="3" t="n"/>
    </row>
    <row r="33">
      <c r="E33" s="3" t="n"/>
      <c r="H33" s="3" t="n"/>
    </row>
    <row r="34">
      <c r="E34" s="3" t="n"/>
      <c r="H34" s="3" t="n"/>
    </row>
    <row r="35">
      <c r="A35" t="inlineStr">
        <is>
          <t>Total</t>
        </is>
      </c>
      <c r="B35" s="3">
        <f>SUM(B2:B34)</f>
        <v/>
      </c>
      <c r="E35" s="3">
        <f>SUM(E2:E27)</f>
        <v/>
      </c>
      <c r="H35" s="3">
        <f>SUM(H2:H34)</f>
        <v/>
      </c>
      <c r="K35" s="3">
        <f>SUM(K2:K34)</f>
        <v/>
      </c>
      <c r="N35" s="3">
        <f>SUM(N2:N34)</f>
        <v/>
      </c>
      <c r="Q35" s="3">
        <f>SUM(Q2:Q34)</f>
        <v/>
      </c>
      <c r="T35" s="3">
        <f>SUM(T2:T34)</f>
        <v/>
      </c>
      <c r="W35" s="3">
        <f>SUM(W2:W34)</f>
        <v/>
      </c>
      <c r="Z35" s="3">
        <f>SUM(Z2:Z34)</f>
        <v/>
      </c>
      <c r="AC35" s="3">
        <f>SUM(AC2:AC34)</f>
        <v/>
      </c>
      <c r="AF35" s="3">
        <f>SUM(AF2:AF34)</f>
        <v/>
      </c>
      <c r="AI35" s="3">
        <f>SUM(AI2:AI34)</f>
        <v/>
      </c>
    </row>
  </sheetData>
  <mergeCells count="3">
    <mergeCell ref="D1:E1"/>
    <mergeCell ref="G1:H1"/>
    <mergeCell ref="A1:B1"/>
  </mergeCells>
  <conditionalFormatting sqref="B2:B32">
    <cfRule type="cellIs" priority="43" operator="lessThan" dxfId="1">
      <formula>0</formula>
    </cfRule>
    <cfRule type="cellIs" priority="44" operator="greaterThan" dxfId="0">
      <formula>0</formula>
    </cfRule>
  </conditionalFormatting>
  <conditionalFormatting sqref="B35">
    <cfRule type="cellIs" priority="42" operator="greaterThan" dxfId="0">
      <formula>0</formula>
    </cfRule>
    <cfRule type="cellIs" priority="41" operator="lessThan" dxfId="1">
      <formula>0</formula>
    </cfRule>
  </conditionalFormatting>
  <conditionalFormatting sqref="E2:E35">
    <cfRule type="cellIs" priority="39" operator="lessThan" dxfId="1">
      <formula>0</formula>
    </cfRule>
    <cfRule type="cellIs" priority="40" operator="greaterThan" dxfId="0">
      <formula>0</formula>
    </cfRule>
  </conditionalFormatting>
  <conditionalFormatting sqref="H2:H35">
    <cfRule type="cellIs" priority="34" operator="greaterThan" dxfId="0">
      <formula>0</formula>
    </cfRule>
    <cfRule type="cellIs" priority="33" operator="lessThan" dxfId="1">
      <formula>0</formula>
    </cfRule>
  </conditionalFormatting>
  <conditionalFormatting sqref="K2:K32">
    <cfRule type="cellIs" priority="38" operator="greaterThan" dxfId="0">
      <formula>0</formula>
    </cfRule>
    <cfRule type="cellIs" priority="37" operator="lessThan" dxfId="1">
      <formula>0</formula>
    </cfRule>
  </conditionalFormatting>
  <conditionalFormatting sqref="K35">
    <cfRule type="cellIs" priority="36" operator="greaterThan" dxfId="0">
      <formula>0</formula>
    </cfRule>
    <cfRule type="cellIs" priority="35" operator="lessThan" dxfId="1">
      <formula>0</formula>
    </cfRule>
  </conditionalFormatting>
  <conditionalFormatting sqref="N2:N32">
    <cfRule type="cellIs" priority="32" operator="greaterThan" dxfId="0">
      <formula>0</formula>
    </cfRule>
    <cfRule type="cellIs" priority="31" operator="lessThan" dxfId="1">
      <formula>0</formula>
    </cfRule>
  </conditionalFormatting>
  <conditionalFormatting sqref="N35">
    <cfRule type="cellIs" priority="30" operator="greaterThan" dxfId="0">
      <formula>0</formula>
    </cfRule>
    <cfRule type="cellIs" priority="29" operator="lessThan" dxfId="1">
      <formula>0</formula>
    </cfRule>
  </conditionalFormatting>
  <conditionalFormatting sqref="Q2:Q30">
    <cfRule type="cellIs" priority="28" operator="greaterThan" dxfId="0">
      <formula>0</formula>
    </cfRule>
    <cfRule type="cellIs" priority="27" operator="lessThan" dxfId="1">
      <formula>0</formula>
    </cfRule>
  </conditionalFormatting>
  <conditionalFormatting sqref="Q35">
    <cfRule type="cellIs" priority="26" operator="greaterThan" dxfId="0">
      <formula>0</formula>
    </cfRule>
    <cfRule type="cellIs" priority="25" operator="lessThan" dxfId="1">
      <formula>0</formula>
    </cfRule>
  </conditionalFormatting>
  <conditionalFormatting sqref="T2:T30">
    <cfRule type="cellIs" priority="23" operator="lessThan" dxfId="1">
      <formula>0</formula>
    </cfRule>
    <cfRule type="cellIs" priority="24" operator="greaterThan" dxfId="0">
      <formula>0</formula>
    </cfRule>
  </conditionalFormatting>
  <conditionalFormatting sqref="T35">
    <cfRule type="cellIs" priority="22" operator="greaterThan" dxfId="0">
      <formula>0</formula>
    </cfRule>
    <cfRule type="cellIs" priority="21" operator="lessThan" dxfId="1">
      <formula>0</formula>
    </cfRule>
  </conditionalFormatting>
  <conditionalFormatting sqref="W2:W30">
    <cfRule type="cellIs" priority="20" operator="greaterThan" dxfId="0">
      <formula>0</formula>
    </cfRule>
    <cfRule type="cellIs" priority="19" operator="lessThan" dxfId="1">
      <formula>0</formula>
    </cfRule>
  </conditionalFormatting>
  <conditionalFormatting sqref="W35">
    <cfRule type="cellIs" priority="18" operator="greaterThan" dxfId="0">
      <formula>0</formula>
    </cfRule>
    <cfRule type="cellIs" priority="17" operator="lessThan" dxfId="1">
      <formula>0</formula>
    </cfRule>
  </conditionalFormatting>
  <conditionalFormatting sqref="Z2:Z30">
    <cfRule type="cellIs" priority="16" operator="greaterThan" dxfId="0">
      <formula>0</formula>
    </cfRule>
    <cfRule type="cellIs" priority="15" operator="lessThan" dxfId="1">
      <formula>0</formula>
    </cfRule>
  </conditionalFormatting>
  <conditionalFormatting sqref="Z35">
    <cfRule type="cellIs" priority="14" operator="greaterThan" dxfId="0">
      <formula>0</formula>
    </cfRule>
    <cfRule type="cellIs" priority="13" operator="lessThan" dxfId="1">
      <formula>0</formula>
    </cfRule>
  </conditionalFormatting>
  <conditionalFormatting sqref="AC2:AC32">
    <cfRule type="cellIs" priority="11" operator="lessThan" dxfId="1">
      <formula>0</formula>
    </cfRule>
    <cfRule type="cellIs" priority="12" operator="greaterThan" dxfId="0">
      <formula>0</formula>
    </cfRule>
  </conditionalFormatting>
  <conditionalFormatting sqref="AC35">
    <cfRule type="cellIs" priority="10" operator="greaterThan" dxfId="0">
      <formula>0</formula>
    </cfRule>
    <cfRule type="cellIs" priority="9" operator="lessThan" dxfId="1">
      <formula>0</formula>
    </cfRule>
  </conditionalFormatting>
  <conditionalFormatting sqref="AF2:AF32">
    <cfRule type="cellIs" priority="8" operator="greaterThan" dxfId="0">
      <formula>0</formula>
    </cfRule>
    <cfRule type="cellIs" priority="7" operator="lessThan" dxfId="1">
      <formula>0</formula>
    </cfRule>
  </conditionalFormatting>
  <conditionalFormatting sqref="AF35">
    <cfRule type="cellIs" priority="6" operator="greaterThan" dxfId="0">
      <formula>0</formula>
    </cfRule>
    <cfRule type="cellIs" priority="5" operator="lessThan" dxfId="1">
      <formula>0</formula>
    </cfRule>
  </conditionalFormatting>
  <conditionalFormatting sqref="AI2:AI32">
    <cfRule type="cellIs" priority="4" operator="greaterThan" dxfId="0">
      <formula>0</formula>
    </cfRule>
    <cfRule type="cellIs" priority="3" operator="lessThan" dxfId="1">
      <formula>0</formula>
    </cfRule>
  </conditionalFormatting>
  <conditionalFormatting sqref="AI35">
    <cfRule type="cellIs" priority="2" operator="greaterThan" dxfId="0">
      <formula>0</formula>
    </cfRule>
    <cfRule type="cellIs" priority="1" operator="lessThan" dxfId="1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selection activeCell="B35" sqref="B35:K35"/>
    </sheetView>
  </sheetViews>
  <sheetFormatPr baseColWidth="8" defaultRowHeight="15"/>
  <cols>
    <col width="18.42578125" customWidth="1" min="1" max="1"/>
    <col width="15.42578125" customWidth="1" style="3" min="2" max="2"/>
    <col width="11.5703125" customWidth="1" min="4" max="4"/>
    <col width="12.5703125" customWidth="1" min="5" max="5"/>
    <col width="11.5703125" customWidth="1" min="7" max="7"/>
    <col width="12.5703125" customWidth="1" min="8" max="8"/>
    <col width="11.5703125" customWidth="1" min="10" max="10"/>
    <col width="10.140625" bestFit="1" customWidth="1" min="11" max="11"/>
    <col width="10.42578125" bestFit="1" customWidth="1" min="13" max="13"/>
    <col width="10.85546875" bestFit="1" customWidth="1" min="14" max="14"/>
    <col width="10.85546875" bestFit="1" customWidth="1" min="17" max="17"/>
    <col width="10.85546875" bestFit="1" customWidth="1" min="20" max="20"/>
    <col width="10.85546875" bestFit="1" customWidth="1" min="23" max="23"/>
    <col width="10.85546875" bestFit="1" customWidth="1" min="26" max="26"/>
    <col width="10.85546875" bestFit="1" customWidth="1" min="29" max="29"/>
    <col width="10.85546875" bestFit="1" customWidth="1" min="32" max="32"/>
    <col width="10.140625" bestFit="1" customWidth="1" min="35" max="35"/>
  </cols>
  <sheetData>
    <row r="1" customFormat="1" s="2">
      <c r="A1" s="9" t="inlineStr">
        <is>
          <t>January</t>
        </is>
      </c>
      <c r="D1" s="9" t="inlineStr">
        <is>
          <t>February</t>
        </is>
      </c>
      <c r="G1" s="9" t="inlineStr">
        <is>
          <t>March</t>
        </is>
      </c>
      <c r="J1" s="2" t="inlineStr">
        <is>
          <t>April</t>
        </is>
      </c>
      <c r="M1" s="2" t="inlineStr">
        <is>
          <t>May</t>
        </is>
      </c>
      <c r="P1" s="2" t="inlineStr">
        <is>
          <t>Jun</t>
        </is>
      </c>
      <c r="S1" s="2" t="inlineStr">
        <is>
          <t>Jul</t>
        </is>
      </c>
      <c r="V1" s="2" t="inlineStr">
        <is>
          <t>Aug</t>
        </is>
      </c>
      <c r="Y1" s="2" t="inlineStr">
        <is>
          <t>Sep</t>
        </is>
      </c>
      <c r="AB1" s="2" t="inlineStr">
        <is>
          <t>Oct</t>
        </is>
      </c>
      <c r="AE1" s="2" t="inlineStr">
        <is>
          <t>Nov</t>
        </is>
      </c>
      <c r="AH1" s="2" t="inlineStr">
        <is>
          <t>Dec</t>
        </is>
      </c>
    </row>
    <row r="2">
      <c r="A2" t="n">
        <v>1</v>
      </c>
      <c r="D2" t="n">
        <v>1</v>
      </c>
      <c r="E2" s="3" t="n"/>
      <c r="G2" t="n">
        <v>1</v>
      </c>
      <c r="H2" s="3" t="n"/>
      <c r="J2" t="n">
        <v>1</v>
      </c>
      <c r="K2" s="3" t="n"/>
      <c r="M2" t="n">
        <v>1</v>
      </c>
      <c r="N2" s="3" t="n"/>
      <c r="P2" t="n">
        <v>1</v>
      </c>
      <c r="Q2" s="3" t="n"/>
      <c r="S2" t="n">
        <v>1</v>
      </c>
      <c r="T2" s="3" t="n"/>
      <c r="V2" t="n">
        <v>1</v>
      </c>
      <c r="W2" s="3" t="n"/>
      <c r="Y2" t="n">
        <v>1</v>
      </c>
      <c r="Z2" s="3" t="n"/>
      <c r="AB2" t="n">
        <v>1</v>
      </c>
      <c r="AC2" s="3" t="n"/>
      <c r="AE2" t="n">
        <v>1</v>
      </c>
      <c r="AF2" s="3" t="n"/>
      <c r="AH2" t="n">
        <v>1</v>
      </c>
      <c r="AI2" s="3" t="n"/>
    </row>
    <row r="3">
      <c r="A3" t="n">
        <v>2</v>
      </c>
      <c r="D3" t="n">
        <v>2</v>
      </c>
      <c r="E3" s="3" t="n">
        <v>-730</v>
      </c>
      <c r="G3" t="n">
        <v>2</v>
      </c>
      <c r="H3" s="3" t="n"/>
      <c r="J3" t="n">
        <v>2</v>
      </c>
      <c r="K3" s="3" t="n"/>
      <c r="M3" t="n">
        <v>2</v>
      </c>
      <c r="N3" s="3" t="n"/>
      <c r="P3" t="n">
        <v>2</v>
      </c>
      <c r="Q3" s="3" t="n"/>
      <c r="S3" t="n">
        <v>2</v>
      </c>
      <c r="T3" s="3" t="n"/>
      <c r="V3" t="n">
        <v>2</v>
      </c>
      <c r="W3" s="3" t="n"/>
      <c r="Y3" t="n">
        <v>2</v>
      </c>
      <c r="Z3" s="3" t="n"/>
      <c r="AB3" t="n">
        <v>2</v>
      </c>
      <c r="AC3" s="3" t="n"/>
      <c r="AE3" t="n">
        <v>2</v>
      </c>
      <c r="AF3" s="3" t="n"/>
      <c r="AH3" t="n">
        <v>2</v>
      </c>
      <c r="AI3" s="3" t="n"/>
    </row>
    <row r="4">
      <c r="A4" t="n">
        <v>3</v>
      </c>
      <c r="D4" t="n">
        <v>3</v>
      </c>
      <c r="E4" s="3" t="n"/>
      <c r="G4" t="n">
        <v>3</v>
      </c>
      <c r="H4" s="3" t="n"/>
      <c r="J4" t="n">
        <v>3</v>
      </c>
      <c r="K4" s="3" t="n"/>
      <c r="M4" t="n">
        <v>3</v>
      </c>
      <c r="N4" s="3" t="n"/>
      <c r="P4" t="n">
        <v>3</v>
      </c>
      <c r="Q4" s="3" t="n"/>
      <c r="S4" t="n">
        <v>3</v>
      </c>
      <c r="T4" s="3" t="n"/>
      <c r="V4" t="n">
        <v>3</v>
      </c>
      <c r="W4" s="3" t="n"/>
      <c r="Y4" t="n">
        <v>3</v>
      </c>
      <c r="Z4" s="3" t="n"/>
      <c r="AB4" t="n">
        <v>3</v>
      </c>
      <c r="AC4" s="3" t="n"/>
      <c r="AE4" t="n">
        <v>3</v>
      </c>
      <c r="AF4" s="3" t="n"/>
      <c r="AH4" t="n">
        <v>3</v>
      </c>
      <c r="AI4" s="3" t="n"/>
    </row>
    <row r="5">
      <c r="A5" t="n">
        <v>4</v>
      </c>
      <c r="D5" t="n">
        <v>4</v>
      </c>
      <c r="E5" s="3" t="n"/>
      <c r="G5" t="n">
        <v>4</v>
      </c>
      <c r="H5" s="3" t="n">
        <v>-740</v>
      </c>
      <c r="J5" t="n">
        <v>4</v>
      </c>
      <c r="K5" s="3" t="n"/>
      <c r="M5" t="n">
        <v>4</v>
      </c>
      <c r="N5" s="3" t="n"/>
      <c r="P5" t="n">
        <v>4</v>
      </c>
      <c r="Q5" s="3" t="n"/>
      <c r="S5" t="n">
        <v>4</v>
      </c>
      <c r="T5" s="3" t="n"/>
      <c r="V5" t="n">
        <v>4</v>
      </c>
      <c r="W5" s="3" t="n"/>
      <c r="Y5" t="n">
        <v>4</v>
      </c>
      <c r="Z5" s="3" t="n"/>
      <c r="AB5" t="n">
        <v>4</v>
      </c>
      <c r="AC5" s="3" t="n"/>
      <c r="AE5" t="n">
        <v>4</v>
      </c>
      <c r="AF5" s="3" t="n"/>
      <c r="AH5" t="n">
        <v>4</v>
      </c>
      <c r="AI5" s="3" t="n"/>
    </row>
    <row r="6">
      <c r="A6" t="n">
        <v>5</v>
      </c>
      <c r="D6" t="n">
        <v>5</v>
      </c>
      <c r="E6" s="3" t="n"/>
      <c r="G6" t="n">
        <v>5</v>
      </c>
      <c r="H6" s="3" t="n"/>
      <c r="J6" t="n">
        <v>5</v>
      </c>
      <c r="K6" s="3" t="n"/>
      <c r="M6" t="n">
        <v>5</v>
      </c>
      <c r="N6" s="3" t="n"/>
      <c r="P6" t="n">
        <v>5</v>
      </c>
      <c r="Q6" s="3" t="n"/>
      <c r="S6" t="n">
        <v>5</v>
      </c>
      <c r="T6" s="3" t="n"/>
      <c r="V6" t="n">
        <v>5</v>
      </c>
      <c r="W6" s="3" t="n"/>
      <c r="Y6" t="n">
        <v>5</v>
      </c>
      <c r="Z6" s="3" t="n"/>
      <c r="AB6" t="n">
        <v>5</v>
      </c>
      <c r="AC6" s="3" t="n"/>
      <c r="AE6" t="n">
        <v>5</v>
      </c>
      <c r="AF6" s="3" t="n"/>
      <c r="AH6" t="n">
        <v>5</v>
      </c>
      <c r="AI6" s="3" t="n"/>
    </row>
    <row r="7">
      <c r="A7" t="n">
        <v>6</v>
      </c>
      <c r="B7" s="3" t="n">
        <v>510</v>
      </c>
      <c r="D7" t="n">
        <v>6</v>
      </c>
      <c r="E7" s="3" t="n">
        <v>500</v>
      </c>
      <c r="G7" t="n">
        <v>6</v>
      </c>
      <c r="H7" s="3" t="n"/>
      <c r="J7" t="n">
        <v>6</v>
      </c>
      <c r="K7" s="3" t="n"/>
      <c r="M7" t="n">
        <v>6</v>
      </c>
      <c r="N7" s="3" t="n"/>
      <c r="P7" t="n">
        <v>6</v>
      </c>
      <c r="Q7" s="3" t="n"/>
      <c r="S7" t="n">
        <v>6</v>
      </c>
      <c r="T7" s="3" t="n"/>
      <c r="V7" t="n">
        <v>6</v>
      </c>
      <c r="W7" s="3" t="n"/>
      <c r="Y7" t="n">
        <v>6</v>
      </c>
      <c r="Z7" s="3" t="n"/>
      <c r="AB7" t="n">
        <v>6</v>
      </c>
      <c r="AC7" s="3" t="n"/>
      <c r="AE7" t="n">
        <v>6</v>
      </c>
      <c r="AF7" s="3" t="n"/>
      <c r="AH7" t="n">
        <v>6</v>
      </c>
      <c r="AI7" s="3" t="n"/>
    </row>
    <row r="8">
      <c r="A8" t="n">
        <v>7</v>
      </c>
      <c r="D8" t="n">
        <v>7</v>
      </c>
      <c r="E8" s="3" t="n"/>
      <c r="G8" t="n">
        <v>7</v>
      </c>
      <c r="H8" s="3" t="n"/>
      <c r="J8" t="n">
        <v>7</v>
      </c>
      <c r="K8" s="3" t="n"/>
      <c r="M8" t="n">
        <v>7</v>
      </c>
      <c r="N8" s="3" t="n"/>
      <c r="P8" t="n">
        <v>7</v>
      </c>
      <c r="Q8" s="3" t="n"/>
      <c r="S8" t="n">
        <v>7</v>
      </c>
      <c r="T8" s="3" t="n"/>
      <c r="V8" t="n">
        <v>7</v>
      </c>
      <c r="W8" s="3" t="n"/>
      <c r="Y8" t="n">
        <v>7</v>
      </c>
      <c r="Z8" s="3" t="n"/>
      <c r="AB8" t="n">
        <v>7</v>
      </c>
      <c r="AC8" s="3" t="n"/>
      <c r="AE8" t="n">
        <v>7</v>
      </c>
      <c r="AF8" s="3" t="n"/>
      <c r="AH8" t="n">
        <v>7</v>
      </c>
      <c r="AI8" s="3" t="n"/>
    </row>
    <row r="9">
      <c r="A9" t="n">
        <v>8</v>
      </c>
      <c r="D9" t="n">
        <v>8</v>
      </c>
      <c r="E9" s="3" t="n"/>
      <c r="G9" t="n">
        <v>8</v>
      </c>
      <c r="H9" s="3" t="n"/>
      <c r="J9" t="n">
        <v>8</v>
      </c>
      <c r="K9" s="3" t="n"/>
      <c r="M9" t="n">
        <v>8</v>
      </c>
      <c r="N9" s="3" t="n"/>
      <c r="P9" t="n">
        <v>8</v>
      </c>
      <c r="Q9" s="3" t="n"/>
      <c r="S9" t="n">
        <v>8</v>
      </c>
      <c r="T9" s="3" t="n"/>
      <c r="V9" t="n">
        <v>8</v>
      </c>
      <c r="W9" s="3" t="n"/>
      <c r="Y9" t="n">
        <v>8</v>
      </c>
      <c r="Z9" s="3" t="n"/>
      <c r="AB9" t="n">
        <v>8</v>
      </c>
      <c r="AC9" s="3" t="n"/>
      <c r="AE9" t="n">
        <v>8</v>
      </c>
      <c r="AF9" s="3" t="n"/>
      <c r="AH9" t="n">
        <v>8</v>
      </c>
      <c r="AI9" s="3" t="n"/>
    </row>
    <row r="10">
      <c r="A10" t="n">
        <v>9</v>
      </c>
      <c r="B10" s="3" t="n">
        <v>500</v>
      </c>
      <c r="D10" t="n">
        <v>9</v>
      </c>
      <c r="E10" s="3" t="n">
        <v>-222</v>
      </c>
      <c r="G10" t="n">
        <v>9</v>
      </c>
      <c r="H10" s="3" t="n"/>
      <c r="J10" t="n">
        <v>9</v>
      </c>
      <c r="K10" s="3" t="n"/>
      <c r="M10" t="n">
        <v>9</v>
      </c>
      <c r="N10" s="3" t="n"/>
      <c r="P10" t="n">
        <v>9</v>
      </c>
      <c r="Q10" s="3" t="n"/>
      <c r="S10" t="n">
        <v>9</v>
      </c>
      <c r="T10" s="3" t="n"/>
      <c r="V10" t="n">
        <v>9</v>
      </c>
      <c r="W10" s="3" t="n"/>
      <c r="Y10" t="n">
        <v>9</v>
      </c>
      <c r="Z10" s="3" t="n"/>
      <c r="AB10" t="n">
        <v>9</v>
      </c>
      <c r="AC10" s="3" t="n"/>
      <c r="AE10" t="n">
        <v>9</v>
      </c>
      <c r="AF10" s="3" t="n"/>
      <c r="AH10" t="n">
        <v>9</v>
      </c>
      <c r="AI10" s="3" t="n"/>
    </row>
    <row r="11">
      <c r="A11" t="n">
        <v>10</v>
      </c>
      <c r="D11" t="n">
        <v>10</v>
      </c>
      <c r="E11" s="3" t="n"/>
      <c r="G11" t="n">
        <v>10</v>
      </c>
      <c r="H11" s="3" t="n">
        <v>-280</v>
      </c>
      <c r="J11" t="n">
        <v>10</v>
      </c>
      <c r="K11" s="3" t="n"/>
      <c r="M11" t="n">
        <v>10</v>
      </c>
      <c r="N11" s="3" t="n"/>
      <c r="P11" t="n">
        <v>10</v>
      </c>
      <c r="Q11" s="3" t="n"/>
      <c r="S11" t="n">
        <v>10</v>
      </c>
      <c r="T11" s="3" t="n"/>
      <c r="V11" t="n">
        <v>10</v>
      </c>
      <c r="W11" s="3" t="n"/>
      <c r="Y11" t="n">
        <v>10</v>
      </c>
      <c r="Z11" s="3" t="n"/>
      <c r="AB11" t="n">
        <v>10</v>
      </c>
      <c r="AC11" s="3" t="n"/>
      <c r="AE11" t="n">
        <v>10</v>
      </c>
      <c r="AF11" s="3" t="n"/>
      <c r="AH11" t="n">
        <v>10</v>
      </c>
      <c r="AI11" s="3" t="n"/>
    </row>
    <row r="12">
      <c r="A12" t="n">
        <v>11</v>
      </c>
      <c r="D12" t="n">
        <v>11</v>
      </c>
      <c r="E12" s="3" t="n"/>
      <c r="G12" t="n">
        <v>11</v>
      </c>
      <c r="H12" s="3" t="n"/>
      <c r="J12" t="n">
        <v>11</v>
      </c>
      <c r="K12" s="3" t="n"/>
      <c r="M12" t="n">
        <v>11</v>
      </c>
      <c r="N12" s="3" t="n"/>
      <c r="P12" t="n">
        <v>11</v>
      </c>
      <c r="Q12" s="3" t="n"/>
      <c r="S12" t="n">
        <v>11</v>
      </c>
      <c r="T12" s="3" t="n"/>
      <c r="V12" t="n">
        <v>11</v>
      </c>
      <c r="W12" s="3" t="n"/>
      <c r="Y12" t="n">
        <v>11</v>
      </c>
      <c r="Z12" s="3" t="n"/>
      <c r="AB12" t="n">
        <v>11</v>
      </c>
      <c r="AC12" s="3" t="n"/>
      <c r="AE12" t="n">
        <v>11</v>
      </c>
      <c r="AF12" s="3" t="n"/>
      <c r="AH12" t="n">
        <v>11</v>
      </c>
      <c r="AI12" s="3" t="n"/>
    </row>
    <row r="13">
      <c r="A13" t="n">
        <v>12</v>
      </c>
      <c r="D13" t="n">
        <v>12</v>
      </c>
      <c r="E13" s="3" t="n"/>
      <c r="G13" t="n">
        <v>12</v>
      </c>
      <c r="H13" s="3" t="n"/>
      <c r="J13" t="n">
        <v>12</v>
      </c>
      <c r="K13" s="3" t="n"/>
      <c r="M13" t="n">
        <v>12</v>
      </c>
      <c r="N13" s="3" t="n"/>
      <c r="P13" t="n">
        <v>12</v>
      </c>
      <c r="Q13" s="3" t="n"/>
      <c r="S13" t="n">
        <v>12</v>
      </c>
      <c r="T13" s="3" t="n"/>
      <c r="V13" t="n">
        <v>12</v>
      </c>
      <c r="W13" s="3" t="n"/>
      <c r="Y13" t="n">
        <v>12</v>
      </c>
      <c r="Z13" s="3" t="n"/>
      <c r="AB13" t="n">
        <v>12</v>
      </c>
      <c r="AC13" s="3" t="n"/>
      <c r="AE13" t="n">
        <v>12</v>
      </c>
      <c r="AF13" s="3" t="n"/>
      <c r="AH13" t="n">
        <v>12</v>
      </c>
      <c r="AI13" s="3" t="n"/>
    </row>
    <row r="14">
      <c r="A14" t="n">
        <v>13</v>
      </c>
      <c r="D14" t="n">
        <v>13</v>
      </c>
      <c r="E14" s="3" t="n"/>
      <c r="G14" t="n">
        <v>13</v>
      </c>
      <c r="H14" s="3" t="n"/>
      <c r="J14" t="n">
        <v>13</v>
      </c>
      <c r="K14" s="3" t="n"/>
      <c r="M14" t="n">
        <v>13</v>
      </c>
      <c r="N14" s="3" t="n"/>
      <c r="P14" t="n">
        <v>13</v>
      </c>
      <c r="Q14" s="3" t="n"/>
      <c r="S14" t="n">
        <v>13</v>
      </c>
      <c r="T14" s="3" t="n"/>
      <c r="V14" t="n">
        <v>13</v>
      </c>
      <c r="W14" s="3" t="n"/>
      <c r="Y14" t="n">
        <v>13</v>
      </c>
      <c r="Z14" s="3" t="n"/>
      <c r="AB14" t="n">
        <v>13</v>
      </c>
      <c r="AC14" s="3" t="n"/>
      <c r="AE14" t="n">
        <v>13</v>
      </c>
      <c r="AF14" s="3" t="n"/>
      <c r="AH14" t="n">
        <v>13</v>
      </c>
      <c r="AI14" s="3" t="n"/>
    </row>
    <row r="15">
      <c r="A15" t="n">
        <v>14</v>
      </c>
      <c r="D15" t="n">
        <v>14</v>
      </c>
      <c r="E15" s="3" t="n"/>
      <c r="G15" t="n">
        <v>14</v>
      </c>
      <c r="H15" s="3" t="n"/>
      <c r="J15" t="n">
        <v>14</v>
      </c>
      <c r="K15" s="3" t="n"/>
      <c r="M15" t="n">
        <v>14</v>
      </c>
      <c r="N15" s="3" t="n"/>
      <c r="P15" t="n">
        <v>14</v>
      </c>
      <c r="Q15" s="3" t="n"/>
      <c r="S15" t="n">
        <v>14</v>
      </c>
      <c r="T15" s="3" t="n"/>
      <c r="V15" t="n">
        <v>14</v>
      </c>
      <c r="W15" s="3" t="n"/>
      <c r="Y15" t="n">
        <v>14</v>
      </c>
      <c r="Z15" s="3" t="n"/>
      <c r="AB15" t="n">
        <v>14</v>
      </c>
      <c r="AC15" s="3" t="n"/>
      <c r="AE15" t="n">
        <v>14</v>
      </c>
      <c r="AF15" s="3" t="n"/>
      <c r="AH15" t="n">
        <v>14</v>
      </c>
      <c r="AI15" s="3" t="n"/>
    </row>
    <row r="16">
      <c r="A16" t="n">
        <v>15</v>
      </c>
      <c r="D16" t="n">
        <v>15</v>
      </c>
      <c r="E16" s="3" t="n"/>
      <c r="G16" t="n">
        <v>15</v>
      </c>
      <c r="H16" s="3" t="n"/>
      <c r="J16" t="n">
        <v>15</v>
      </c>
      <c r="K16" s="3" t="n"/>
      <c r="M16" t="n">
        <v>15</v>
      </c>
      <c r="N16" s="3" t="n"/>
      <c r="P16" t="n">
        <v>15</v>
      </c>
      <c r="Q16" s="3" t="n"/>
      <c r="S16" t="n">
        <v>15</v>
      </c>
      <c r="T16" s="3" t="n"/>
      <c r="V16" t="n">
        <v>15</v>
      </c>
      <c r="W16" s="3" t="n"/>
      <c r="Y16" t="n">
        <v>15</v>
      </c>
      <c r="Z16" s="3" t="n"/>
      <c r="AB16" t="n">
        <v>15</v>
      </c>
      <c r="AC16" s="3" t="n"/>
      <c r="AE16" t="n">
        <v>15</v>
      </c>
      <c r="AF16" s="3" t="n"/>
      <c r="AH16" t="n">
        <v>15</v>
      </c>
      <c r="AI16" s="3" t="n"/>
    </row>
    <row r="17">
      <c r="A17" t="n">
        <v>16</v>
      </c>
      <c r="D17" t="n">
        <v>16</v>
      </c>
      <c r="E17" s="3" t="n"/>
      <c r="G17" t="n">
        <v>16</v>
      </c>
      <c r="H17" s="3" t="n"/>
      <c r="J17" t="n">
        <v>16</v>
      </c>
      <c r="K17" s="3" t="n"/>
      <c r="M17" t="n">
        <v>16</v>
      </c>
      <c r="N17" s="3" t="n"/>
      <c r="P17" t="n">
        <v>16</v>
      </c>
      <c r="Q17" s="3" t="n"/>
      <c r="S17" t="n">
        <v>16</v>
      </c>
      <c r="T17" s="3" t="n"/>
      <c r="V17" t="n">
        <v>16</v>
      </c>
      <c r="W17" s="3" t="n"/>
      <c r="Y17" t="n">
        <v>16</v>
      </c>
      <c r="Z17" s="3" t="n"/>
      <c r="AB17" t="n">
        <v>16</v>
      </c>
      <c r="AC17" s="3" t="n"/>
      <c r="AE17" t="n">
        <v>16</v>
      </c>
      <c r="AF17" s="3" t="n"/>
      <c r="AH17" t="n">
        <v>16</v>
      </c>
      <c r="AI17" s="3" t="n"/>
    </row>
    <row r="18">
      <c r="A18" t="n">
        <v>17</v>
      </c>
      <c r="D18" t="n">
        <v>17</v>
      </c>
      <c r="E18" s="3" t="n"/>
      <c r="G18" t="n">
        <v>17</v>
      </c>
      <c r="H18" s="3" t="n"/>
      <c r="J18" t="n">
        <v>17</v>
      </c>
      <c r="K18" s="3" t="n"/>
      <c r="M18" t="n">
        <v>17</v>
      </c>
      <c r="N18" s="3" t="n"/>
      <c r="P18" t="n">
        <v>17</v>
      </c>
      <c r="Q18" s="3" t="n"/>
      <c r="S18" t="n">
        <v>17</v>
      </c>
      <c r="T18" s="3" t="n"/>
      <c r="V18" t="n">
        <v>17</v>
      </c>
      <c r="W18" s="3" t="n"/>
      <c r="Y18" t="n">
        <v>17</v>
      </c>
      <c r="Z18" s="3" t="n"/>
      <c r="AB18" t="n">
        <v>17</v>
      </c>
      <c r="AC18" s="3" t="n"/>
      <c r="AE18" t="n">
        <v>17</v>
      </c>
      <c r="AF18" s="3" t="n"/>
      <c r="AH18" t="n">
        <v>17</v>
      </c>
      <c r="AI18" s="3" t="n"/>
    </row>
    <row r="19">
      <c r="A19" t="n">
        <v>18</v>
      </c>
      <c r="D19" t="n">
        <v>18</v>
      </c>
      <c r="E19" s="3" t="n">
        <v>-1470</v>
      </c>
      <c r="G19" t="n">
        <v>18</v>
      </c>
      <c r="H19" s="3" t="n"/>
      <c r="J19" t="n">
        <v>18</v>
      </c>
      <c r="K19" s="3" t="n"/>
      <c r="M19" t="n">
        <v>18</v>
      </c>
      <c r="N19" s="3" t="n"/>
      <c r="P19" t="n">
        <v>18</v>
      </c>
      <c r="Q19" s="3" t="n"/>
      <c r="S19" t="n">
        <v>18</v>
      </c>
      <c r="T19" s="3" t="n"/>
      <c r="V19" t="n">
        <v>18</v>
      </c>
      <c r="W19" s="3" t="n"/>
      <c r="Y19" t="n">
        <v>18</v>
      </c>
      <c r="Z19" s="3" t="n"/>
      <c r="AB19" t="n">
        <v>18</v>
      </c>
      <c r="AC19" s="3" t="n"/>
      <c r="AE19" t="n">
        <v>18</v>
      </c>
      <c r="AF19" s="3" t="n"/>
      <c r="AH19" t="n">
        <v>18</v>
      </c>
      <c r="AI19" s="3" t="n"/>
    </row>
    <row r="20">
      <c r="A20" t="n">
        <v>19</v>
      </c>
      <c r="D20" t="n">
        <v>19</v>
      </c>
      <c r="E20" s="3" t="n"/>
      <c r="G20" t="n">
        <v>19</v>
      </c>
      <c r="H20" s="3" t="n"/>
      <c r="J20" t="n">
        <v>19</v>
      </c>
      <c r="K20" s="3" t="n"/>
      <c r="M20" t="n">
        <v>19</v>
      </c>
      <c r="N20" s="3" t="n"/>
      <c r="P20" t="n">
        <v>19</v>
      </c>
      <c r="Q20" s="3" t="n"/>
      <c r="S20" t="n">
        <v>19</v>
      </c>
      <c r="T20" s="3" t="n"/>
      <c r="V20" t="n">
        <v>19</v>
      </c>
      <c r="W20" s="3" t="n"/>
      <c r="Y20" t="n">
        <v>19</v>
      </c>
      <c r="Z20" s="3" t="n"/>
      <c r="AB20" t="n">
        <v>19</v>
      </c>
      <c r="AC20" s="3" t="n"/>
      <c r="AE20" t="n">
        <v>19</v>
      </c>
      <c r="AF20" s="3" t="n"/>
      <c r="AH20" t="n">
        <v>19</v>
      </c>
      <c r="AI20" s="3" t="n"/>
    </row>
    <row r="21">
      <c r="A21" t="n">
        <v>20</v>
      </c>
      <c r="D21" t="n">
        <v>20</v>
      </c>
      <c r="E21" s="3" t="n">
        <v>-150</v>
      </c>
      <c r="G21" t="n">
        <v>20</v>
      </c>
      <c r="H21" s="3" t="n"/>
      <c r="J21" t="n">
        <v>20</v>
      </c>
      <c r="K21" s="3" t="n"/>
      <c r="M21" t="n">
        <v>20</v>
      </c>
      <c r="N21" s="3" t="n"/>
      <c r="P21" t="n">
        <v>20</v>
      </c>
      <c r="Q21" s="3" t="n"/>
      <c r="S21" t="n">
        <v>20</v>
      </c>
      <c r="T21" s="3" t="n"/>
      <c r="V21" t="n">
        <v>20</v>
      </c>
      <c r="W21" s="3" t="n"/>
      <c r="Y21" t="n">
        <v>20</v>
      </c>
      <c r="Z21" s="3" t="n"/>
      <c r="AB21" t="n">
        <v>20</v>
      </c>
      <c r="AC21" s="3" t="n"/>
      <c r="AE21" t="n">
        <v>20</v>
      </c>
      <c r="AF21" s="3" t="n"/>
      <c r="AH21" t="n">
        <v>20</v>
      </c>
      <c r="AI21" s="3" t="n"/>
    </row>
    <row r="22">
      <c r="A22" t="n">
        <v>21</v>
      </c>
      <c r="D22" t="n">
        <v>21</v>
      </c>
      <c r="E22" s="3" t="n"/>
      <c r="G22" t="n">
        <v>21</v>
      </c>
      <c r="H22" s="3" t="n"/>
      <c r="J22" t="n">
        <v>21</v>
      </c>
      <c r="K22" s="3" t="n"/>
      <c r="M22" t="n">
        <v>21</v>
      </c>
      <c r="N22" s="3" t="n"/>
      <c r="P22" t="n">
        <v>21</v>
      </c>
      <c r="Q22" s="3" t="n"/>
      <c r="S22" t="n">
        <v>21</v>
      </c>
      <c r="T22" s="3" t="n"/>
      <c r="V22" t="n">
        <v>21</v>
      </c>
      <c r="W22" s="3" t="n"/>
      <c r="Y22" t="n">
        <v>21</v>
      </c>
      <c r="Z22" s="3" t="n"/>
      <c r="AB22" t="n">
        <v>21</v>
      </c>
      <c r="AC22" s="3" t="n"/>
      <c r="AE22" t="n">
        <v>21</v>
      </c>
      <c r="AF22" s="3" t="n"/>
      <c r="AH22" t="n">
        <v>21</v>
      </c>
      <c r="AI22" s="3" t="n"/>
    </row>
    <row r="23">
      <c r="A23" t="n">
        <v>22</v>
      </c>
      <c r="D23" t="n">
        <v>22</v>
      </c>
      <c r="E23" s="3" t="n"/>
      <c r="G23" t="n">
        <v>22</v>
      </c>
      <c r="H23" s="3" t="n"/>
      <c r="J23" t="n">
        <v>22</v>
      </c>
      <c r="K23" s="3" t="n"/>
      <c r="M23" t="n">
        <v>22</v>
      </c>
      <c r="N23" s="3" t="n"/>
      <c r="P23" t="n">
        <v>22</v>
      </c>
      <c r="Q23" s="3" t="n"/>
      <c r="S23" t="n">
        <v>22</v>
      </c>
      <c r="T23" s="3" t="n"/>
      <c r="V23" t="n">
        <v>22</v>
      </c>
      <c r="W23" s="3" t="n"/>
      <c r="Y23" t="n">
        <v>22</v>
      </c>
      <c r="Z23" s="3" t="n"/>
      <c r="AB23" t="n">
        <v>22</v>
      </c>
      <c r="AC23" s="3" t="n"/>
      <c r="AE23" t="n">
        <v>22</v>
      </c>
      <c r="AF23" s="3" t="n"/>
      <c r="AH23" t="n">
        <v>22</v>
      </c>
      <c r="AI23" s="3" t="n"/>
    </row>
    <row r="24">
      <c r="A24" t="n">
        <v>23</v>
      </c>
      <c r="D24" t="n">
        <v>23</v>
      </c>
      <c r="E24" s="3" t="n"/>
      <c r="G24" t="n">
        <v>23</v>
      </c>
      <c r="H24" s="3" t="n"/>
      <c r="J24" t="n">
        <v>23</v>
      </c>
      <c r="K24" s="3" t="n"/>
      <c r="M24" t="n">
        <v>23</v>
      </c>
      <c r="N24" s="3" t="n"/>
      <c r="P24" t="n">
        <v>23</v>
      </c>
      <c r="Q24" s="3" t="n"/>
      <c r="S24" t="n">
        <v>23</v>
      </c>
      <c r="T24" s="3" t="n"/>
      <c r="V24" t="n">
        <v>23</v>
      </c>
      <c r="W24" s="3" t="n"/>
      <c r="Y24" t="n">
        <v>23</v>
      </c>
      <c r="Z24" s="3" t="n"/>
      <c r="AB24" t="n">
        <v>23</v>
      </c>
      <c r="AC24" s="3" t="n"/>
      <c r="AE24" t="n">
        <v>23</v>
      </c>
      <c r="AF24" s="3" t="n"/>
      <c r="AH24" t="n">
        <v>23</v>
      </c>
      <c r="AI24" s="3" t="n"/>
    </row>
    <row r="25">
      <c r="A25" t="n">
        <v>24</v>
      </c>
      <c r="D25" t="n">
        <v>24</v>
      </c>
      <c r="E25" s="3" t="n">
        <v>-650</v>
      </c>
      <c r="G25" t="n">
        <v>24</v>
      </c>
      <c r="H25" s="3" t="n"/>
      <c r="J25" t="n">
        <v>24</v>
      </c>
      <c r="K25" s="3" t="n"/>
      <c r="M25" t="n">
        <v>24</v>
      </c>
      <c r="N25" s="3" t="n"/>
      <c r="P25" t="n">
        <v>24</v>
      </c>
      <c r="Q25" s="3" t="n"/>
      <c r="S25" t="n">
        <v>24</v>
      </c>
      <c r="T25" s="3" t="n"/>
      <c r="V25" t="n">
        <v>24</v>
      </c>
      <c r="W25" s="3" t="n"/>
      <c r="Y25" t="n">
        <v>24</v>
      </c>
      <c r="Z25" s="3" t="n"/>
      <c r="AB25" t="n">
        <v>24</v>
      </c>
      <c r="AC25" s="3" t="n"/>
      <c r="AE25" t="n">
        <v>24</v>
      </c>
      <c r="AF25" s="3" t="n"/>
      <c r="AH25" t="n">
        <v>24</v>
      </c>
      <c r="AI25" s="3" t="n"/>
    </row>
    <row r="26">
      <c r="A26" t="n">
        <v>25</v>
      </c>
      <c r="D26" t="n">
        <v>25</v>
      </c>
      <c r="E26" s="3" t="n">
        <v>450</v>
      </c>
      <c r="G26" t="n">
        <v>25</v>
      </c>
      <c r="H26" s="3" t="n"/>
      <c r="J26" t="n">
        <v>25</v>
      </c>
      <c r="K26" s="3" t="n"/>
      <c r="M26" t="n">
        <v>25</v>
      </c>
      <c r="N26" s="3" t="n"/>
      <c r="P26" t="n">
        <v>25</v>
      </c>
      <c r="Q26" s="3" t="n"/>
      <c r="S26" t="n">
        <v>25</v>
      </c>
      <c r="T26" s="3" t="n"/>
      <c r="V26" t="n">
        <v>25</v>
      </c>
      <c r="W26" s="3" t="n"/>
      <c r="Y26" t="n">
        <v>25</v>
      </c>
      <c r="Z26" s="3" t="n"/>
      <c r="AB26" t="n">
        <v>25</v>
      </c>
      <c r="AC26" s="3" t="n"/>
      <c r="AE26" t="n">
        <v>25</v>
      </c>
      <c r="AF26" s="3" t="n"/>
      <c r="AH26" t="n">
        <v>25</v>
      </c>
      <c r="AI26" s="3" t="n"/>
    </row>
    <row r="27">
      <c r="A27" t="n">
        <v>26</v>
      </c>
      <c r="B27" s="3" t="n">
        <v>-260</v>
      </c>
      <c r="D27" t="n">
        <v>26</v>
      </c>
      <c r="E27" s="3" t="n"/>
      <c r="G27" t="n">
        <v>26</v>
      </c>
      <c r="H27" s="3" t="n"/>
      <c r="J27" t="n">
        <v>26</v>
      </c>
      <c r="K27" s="3" t="n"/>
      <c r="M27" t="n">
        <v>26</v>
      </c>
      <c r="N27" s="3" t="n"/>
      <c r="P27" t="n">
        <v>26</v>
      </c>
      <c r="Q27" s="3" t="n"/>
      <c r="S27" t="n">
        <v>26</v>
      </c>
      <c r="T27" s="3" t="n"/>
      <c r="V27" t="n">
        <v>26</v>
      </c>
      <c r="W27" s="3" t="n"/>
      <c r="Y27" t="n">
        <v>26</v>
      </c>
      <c r="Z27" s="3" t="n"/>
      <c r="AB27" t="n">
        <v>26</v>
      </c>
      <c r="AC27" s="3" t="n"/>
      <c r="AE27" t="n">
        <v>26</v>
      </c>
      <c r="AF27" s="3" t="n"/>
      <c r="AH27" t="n">
        <v>26</v>
      </c>
      <c r="AI27" s="3" t="n"/>
    </row>
    <row r="28">
      <c r="A28" t="n">
        <v>27</v>
      </c>
      <c r="D28" t="n">
        <v>27</v>
      </c>
      <c r="E28" s="3" t="n"/>
      <c r="G28" t="n">
        <v>27</v>
      </c>
      <c r="H28" s="3" t="n"/>
      <c r="J28" t="n">
        <v>27</v>
      </c>
      <c r="K28" s="3" t="n"/>
      <c r="M28" t="n">
        <v>27</v>
      </c>
      <c r="N28" s="3" t="n"/>
      <c r="P28" t="n">
        <v>27</v>
      </c>
      <c r="Q28" s="3" t="n"/>
      <c r="S28" t="n">
        <v>27</v>
      </c>
      <c r="T28" s="3" t="n"/>
      <c r="V28" t="n">
        <v>27</v>
      </c>
      <c r="W28" s="3" t="n"/>
      <c r="Y28" t="n">
        <v>27</v>
      </c>
      <c r="Z28" s="3" t="n"/>
      <c r="AB28" t="n">
        <v>27</v>
      </c>
      <c r="AC28" s="3" t="n"/>
      <c r="AE28" t="n">
        <v>27</v>
      </c>
      <c r="AF28" s="3" t="n"/>
      <c r="AH28" t="n">
        <v>27</v>
      </c>
      <c r="AI28" s="3" t="n"/>
    </row>
    <row r="29">
      <c r="A29" t="n">
        <v>28</v>
      </c>
      <c r="D29" t="n">
        <v>28</v>
      </c>
      <c r="E29" s="3" t="n"/>
      <c r="G29" t="n">
        <v>28</v>
      </c>
      <c r="H29" s="3" t="n"/>
      <c r="J29" t="n">
        <v>28</v>
      </c>
      <c r="K29" s="3" t="n"/>
      <c r="M29" t="n">
        <v>28</v>
      </c>
      <c r="N29" s="3" t="n"/>
      <c r="P29" t="n">
        <v>28</v>
      </c>
      <c r="Q29" s="3" t="n"/>
      <c r="S29" t="n">
        <v>28</v>
      </c>
      <c r="T29" s="3" t="n"/>
      <c r="V29" t="n">
        <v>28</v>
      </c>
      <c r="W29" s="3" t="n"/>
      <c r="Y29" t="n">
        <v>28</v>
      </c>
      <c r="Z29" s="3" t="n"/>
      <c r="AB29" t="n">
        <v>28</v>
      </c>
      <c r="AC29" s="3" t="n"/>
      <c r="AE29" t="n">
        <v>28</v>
      </c>
      <c r="AF29" s="3" t="n"/>
      <c r="AH29" t="n">
        <v>28</v>
      </c>
      <c r="AI29" s="3" t="n"/>
    </row>
    <row r="30">
      <c r="A30" t="n">
        <v>29</v>
      </c>
      <c r="D30" t="n">
        <v>29</v>
      </c>
      <c r="E30" s="3" t="n"/>
      <c r="G30" t="n">
        <v>29</v>
      </c>
      <c r="H30" s="3" t="n"/>
      <c r="J30" t="n">
        <v>29</v>
      </c>
      <c r="K30" s="3" t="n"/>
      <c r="M30" t="n">
        <v>29</v>
      </c>
      <c r="N30" s="3" t="n"/>
      <c r="P30" t="n">
        <v>29</v>
      </c>
      <c r="Q30" s="3" t="n"/>
      <c r="S30" t="n">
        <v>29</v>
      </c>
      <c r="T30" s="3" t="n"/>
      <c r="V30" t="n">
        <v>29</v>
      </c>
      <c r="W30" s="3" t="n"/>
      <c r="Y30" t="n">
        <v>29</v>
      </c>
      <c r="Z30" s="3" t="n"/>
      <c r="AB30" t="n">
        <v>29</v>
      </c>
      <c r="AC30" s="3" t="n"/>
      <c r="AE30" t="n">
        <v>29</v>
      </c>
      <c r="AF30" s="3" t="n"/>
      <c r="AH30" t="n">
        <v>29</v>
      </c>
      <c r="AI30" s="3" t="n"/>
    </row>
    <row r="31">
      <c r="A31" t="n">
        <v>30</v>
      </c>
      <c r="D31" t="n">
        <v>30</v>
      </c>
      <c r="E31" s="3" t="n"/>
      <c r="G31" t="n">
        <v>30</v>
      </c>
      <c r="H31" s="3" t="n"/>
      <c r="J31" t="n">
        <v>30</v>
      </c>
      <c r="K31" s="3" t="n"/>
      <c r="M31" t="n">
        <v>30</v>
      </c>
      <c r="N31" s="3" t="n"/>
      <c r="P31" t="n">
        <v>30</v>
      </c>
      <c r="S31" t="n">
        <v>30</v>
      </c>
      <c r="V31" t="n">
        <v>30</v>
      </c>
      <c r="Y31" t="n">
        <v>30</v>
      </c>
      <c r="AB31" t="n">
        <v>30</v>
      </c>
      <c r="AC31" s="3" t="n"/>
      <c r="AE31" t="n">
        <v>30</v>
      </c>
      <c r="AF31" s="3" t="n"/>
      <c r="AH31" t="n">
        <v>30</v>
      </c>
      <c r="AI31" s="3" t="n"/>
    </row>
    <row r="32">
      <c r="A32" t="n">
        <v>31</v>
      </c>
      <c r="D32" t="n">
        <v>31</v>
      </c>
      <c r="E32" s="3" t="n"/>
      <c r="G32" t="n">
        <v>31</v>
      </c>
      <c r="H32" s="3" t="n"/>
      <c r="J32" t="n">
        <v>31</v>
      </c>
      <c r="K32" s="3" t="n"/>
      <c r="M32" t="n">
        <v>31</v>
      </c>
      <c r="N32" s="3" t="n"/>
      <c r="P32" t="n">
        <v>31</v>
      </c>
      <c r="S32" t="n">
        <v>31</v>
      </c>
      <c r="V32" t="n">
        <v>31</v>
      </c>
      <c r="Y32" t="n">
        <v>31</v>
      </c>
      <c r="AB32" t="n">
        <v>31</v>
      </c>
      <c r="AC32" s="3" t="n"/>
      <c r="AE32" t="n">
        <v>31</v>
      </c>
      <c r="AF32" s="3" t="n"/>
      <c r="AH32" t="n">
        <v>31</v>
      </c>
      <c r="AI32" s="3" t="n"/>
    </row>
    <row r="33">
      <c r="E33" s="3" t="n"/>
      <c r="H33" s="3" t="n"/>
    </row>
    <row r="34">
      <c r="E34" s="3" t="n"/>
      <c r="H34" s="3" t="n"/>
    </row>
    <row r="35">
      <c r="A35" t="inlineStr">
        <is>
          <t>Total</t>
        </is>
      </c>
      <c r="B35" s="3">
        <f>SUM(B2:B34)</f>
        <v/>
      </c>
      <c r="E35" s="3">
        <f>SUM(E2:E27)</f>
        <v/>
      </c>
      <c r="H35" s="3">
        <f>SUM(H2:H34)</f>
        <v/>
      </c>
      <c r="K35" s="3">
        <f>SUM(K2:K34)</f>
        <v/>
      </c>
      <c r="N35" s="3">
        <f>SUM(N2:N34)</f>
        <v/>
      </c>
      <c r="Q35" s="3">
        <f>SUM(Q2:Q34)</f>
        <v/>
      </c>
      <c r="T35" s="3">
        <f>SUM(T2:T34)</f>
        <v/>
      </c>
      <c r="W35" s="3">
        <f>SUM(W2:W34)</f>
        <v/>
      </c>
      <c r="Z35" s="3">
        <f>SUM(Z2:Z34)</f>
        <v/>
      </c>
      <c r="AC35" s="3">
        <f>SUM(AC2:AC34)</f>
        <v/>
      </c>
      <c r="AF35" s="3">
        <f>SUM(AF2:AF34)</f>
        <v/>
      </c>
      <c r="AI35" s="3">
        <f>SUM(AI2:AI34)</f>
        <v/>
      </c>
    </row>
  </sheetData>
  <mergeCells count="3">
    <mergeCell ref="D1:E1"/>
    <mergeCell ref="G1:H1"/>
    <mergeCell ref="A1:B1"/>
  </mergeCells>
  <conditionalFormatting sqref="B2:B32">
    <cfRule type="cellIs" priority="43" operator="lessThan" dxfId="1">
      <formula>0</formula>
    </cfRule>
    <cfRule type="cellIs" priority="44" operator="greaterThan" dxfId="0">
      <formula>0</formula>
    </cfRule>
  </conditionalFormatting>
  <conditionalFormatting sqref="B35">
    <cfRule type="cellIs" priority="42" operator="greaterThan" dxfId="0">
      <formula>0</formula>
    </cfRule>
    <cfRule type="cellIs" priority="41" operator="lessThan" dxfId="1">
      <formula>0</formula>
    </cfRule>
  </conditionalFormatting>
  <conditionalFormatting sqref="E2:E35">
    <cfRule type="cellIs" priority="39" operator="lessThan" dxfId="1">
      <formula>0</formula>
    </cfRule>
    <cfRule type="cellIs" priority="40" operator="greaterThan" dxfId="0">
      <formula>0</formula>
    </cfRule>
  </conditionalFormatting>
  <conditionalFormatting sqref="H2:H35">
    <cfRule type="cellIs" priority="34" operator="greaterThan" dxfId="0">
      <formula>0</formula>
    </cfRule>
    <cfRule type="cellIs" priority="33" operator="lessThan" dxfId="1">
      <formula>0</formula>
    </cfRule>
  </conditionalFormatting>
  <conditionalFormatting sqref="K2:K32">
    <cfRule type="cellIs" priority="38" operator="greaterThan" dxfId="0">
      <formula>0</formula>
    </cfRule>
    <cfRule type="cellIs" priority="37" operator="lessThan" dxfId="1">
      <formula>0</formula>
    </cfRule>
  </conditionalFormatting>
  <conditionalFormatting sqref="K35">
    <cfRule type="cellIs" priority="36" operator="greaterThan" dxfId="0">
      <formula>0</formula>
    </cfRule>
    <cfRule type="cellIs" priority="35" operator="lessThan" dxfId="1">
      <formula>0</formula>
    </cfRule>
  </conditionalFormatting>
  <conditionalFormatting sqref="N2:N32">
    <cfRule type="cellIs" priority="32" operator="greaterThan" dxfId="0">
      <formula>0</formula>
    </cfRule>
    <cfRule type="cellIs" priority="31" operator="lessThan" dxfId="1">
      <formula>0</formula>
    </cfRule>
  </conditionalFormatting>
  <conditionalFormatting sqref="N35">
    <cfRule type="cellIs" priority="30" operator="greaterThan" dxfId="0">
      <formula>0</formula>
    </cfRule>
    <cfRule type="cellIs" priority="29" operator="lessThan" dxfId="1">
      <formula>0</formula>
    </cfRule>
  </conditionalFormatting>
  <conditionalFormatting sqref="Q2:Q30">
    <cfRule type="cellIs" priority="28" operator="greaterThan" dxfId="0">
      <formula>0</formula>
    </cfRule>
    <cfRule type="cellIs" priority="27" operator="lessThan" dxfId="1">
      <formula>0</formula>
    </cfRule>
  </conditionalFormatting>
  <conditionalFormatting sqref="Q35">
    <cfRule type="cellIs" priority="26" operator="greaterThan" dxfId="0">
      <formula>0</formula>
    </cfRule>
    <cfRule type="cellIs" priority="25" operator="lessThan" dxfId="1">
      <formula>0</formula>
    </cfRule>
  </conditionalFormatting>
  <conditionalFormatting sqref="T2:T30">
    <cfRule type="cellIs" priority="23" operator="lessThan" dxfId="1">
      <formula>0</formula>
    </cfRule>
    <cfRule type="cellIs" priority="24" operator="greaterThan" dxfId="0">
      <formula>0</formula>
    </cfRule>
  </conditionalFormatting>
  <conditionalFormatting sqref="T35">
    <cfRule type="cellIs" priority="22" operator="greaterThan" dxfId="0">
      <formula>0</formula>
    </cfRule>
    <cfRule type="cellIs" priority="21" operator="lessThan" dxfId="1">
      <formula>0</formula>
    </cfRule>
  </conditionalFormatting>
  <conditionalFormatting sqref="W2:W30">
    <cfRule type="cellIs" priority="20" operator="greaterThan" dxfId="0">
      <formula>0</formula>
    </cfRule>
    <cfRule type="cellIs" priority="19" operator="lessThan" dxfId="1">
      <formula>0</formula>
    </cfRule>
  </conditionalFormatting>
  <conditionalFormatting sqref="W35">
    <cfRule type="cellIs" priority="18" operator="greaterThan" dxfId="0">
      <formula>0</formula>
    </cfRule>
    <cfRule type="cellIs" priority="17" operator="lessThan" dxfId="1">
      <formula>0</formula>
    </cfRule>
  </conditionalFormatting>
  <conditionalFormatting sqref="Z2:Z30">
    <cfRule type="cellIs" priority="16" operator="greaterThan" dxfId="0">
      <formula>0</formula>
    </cfRule>
    <cfRule type="cellIs" priority="15" operator="lessThan" dxfId="1">
      <formula>0</formula>
    </cfRule>
  </conditionalFormatting>
  <conditionalFormatting sqref="Z35">
    <cfRule type="cellIs" priority="14" operator="greaterThan" dxfId="0">
      <formula>0</formula>
    </cfRule>
    <cfRule type="cellIs" priority="13" operator="lessThan" dxfId="1">
      <formula>0</formula>
    </cfRule>
  </conditionalFormatting>
  <conditionalFormatting sqref="AC2:AC32">
    <cfRule type="cellIs" priority="11" operator="lessThan" dxfId="1">
      <formula>0</formula>
    </cfRule>
    <cfRule type="cellIs" priority="12" operator="greaterThan" dxfId="0">
      <formula>0</formula>
    </cfRule>
  </conditionalFormatting>
  <conditionalFormatting sqref="AC35">
    <cfRule type="cellIs" priority="10" operator="greaterThan" dxfId="0">
      <formula>0</formula>
    </cfRule>
    <cfRule type="cellIs" priority="9" operator="lessThan" dxfId="1">
      <formula>0</formula>
    </cfRule>
  </conditionalFormatting>
  <conditionalFormatting sqref="AF2:AF32">
    <cfRule type="cellIs" priority="8" operator="greaterThan" dxfId="0">
      <formula>0</formula>
    </cfRule>
    <cfRule type="cellIs" priority="7" operator="lessThan" dxfId="1">
      <formula>0</formula>
    </cfRule>
  </conditionalFormatting>
  <conditionalFormatting sqref="AF35">
    <cfRule type="cellIs" priority="6" operator="greaterThan" dxfId="0">
      <formula>0</formula>
    </cfRule>
    <cfRule type="cellIs" priority="5" operator="lessThan" dxfId="1">
      <formula>0</formula>
    </cfRule>
  </conditionalFormatting>
  <conditionalFormatting sqref="AI2:AI32">
    <cfRule type="cellIs" priority="4" operator="greaterThan" dxfId="0">
      <formula>0</formula>
    </cfRule>
    <cfRule type="cellIs" priority="3" operator="lessThan" dxfId="1">
      <formula>0</formula>
    </cfRule>
  </conditionalFormatting>
  <conditionalFormatting sqref="AI35">
    <cfRule type="cellIs" priority="2" operator="greaterThan" dxfId="0">
      <formula>0</formula>
    </cfRule>
    <cfRule type="cellIs" priority="1" operator="lessThan" dxfId="1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selection activeCell="B35" sqref="B35:K35"/>
    </sheetView>
  </sheetViews>
  <sheetFormatPr baseColWidth="8" defaultRowHeight="15"/>
  <cols>
    <col width="18.42578125" customWidth="1" min="1" max="1"/>
    <col width="15.42578125" customWidth="1" style="3" min="2" max="2"/>
    <col width="11.5703125" customWidth="1" min="4" max="4"/>
    <col width="12.5703125" customWidth="1" min="5" max="5"/>
    <col width="11.5703125" customWidth="1" min="7" max="7"/>
    <col width="12.5703125" customWidth="1" min="8" max="8"/>
    <col width="11.5703125" customWidth="1" min="10" max="10"/>
    <col width="10.140625" bestFit="1" customWidth="1" min="11" max="11"/>
    <col width="10.42578125" bestFit="1" customWidth="1" min="13" max="13"/>
    <col width="10.85546875" bestFit="1" customWidth="1" min="14" max="14"/>
    <col width="10.85546875" bestFit="1" customWidth="1" min="17" max="17"/>
    <col width="10.85546875" bestFit="1" customWidth="1" min="20" max="20"/>
    <col width="10.85546875" bestFit="1" customWidth="1" min="23" max="23"/>
    <col width="10.85546875" bestFit="1" customWidth="1" min="26" max="26"/>
    <col width="10.85546875" bestFit="1" customWidth="1" min="29" max="29"/>
    <col width="10.85546875" bestFit="1" customWidth="1" min="32" max="32"/>
    <col width="10.140625" bestFit="1" customWidth="1" min="35" max="35"/>
  </cols>
  <sheetData>
    <row r="1" customFormat="1" s="2">
      <c r="A1" s="9" t="inlineStr">
        <is>
          <t>January</t>
        </is>
      </c>
      <c r="D1" s="9" t="inlineStr">
        <is>
          <t>February</t>
        </is>
      </c>
      <c r="G1" s="9" t="inlineStr">
        <is>
          <t>March</t>
        </is>
      </c>
      <c r="J1" s="2" t="inlineStr">
        <is>
          <t>April</t>
        </is>
      </c>
      <c r="M1" s="2" t="inlineStr">
        <is>
          <t>May</t>
        </is>
      </c>
      <c r="P1" s="2" t="inlineStr">
        <is>
          <t>Jun</t>
        </is>
      </c>
      <c r="S1" s="2" t="inlineStr">
        <is>
          <t>Jul</t>
        </is>
      </c>
      <c r="V1" s="2" t="inlineStr">
        <is>
          <t>Aug</t>
        </is>
      </c>
      <c r="Y1" s="2" t="inlineStr">
        <is>
          <t>Sep</t>
        </is>
      </c>
      <c r="AB1" s="2" t="inlineStr">
        <is>
          <t>Oct</t>
        </is>
      </c>
      <c r="AE1" s="2" t="inlineStr">
        <is>
          <t>Nov</t>
        </is>
      </c>
      <c r="AH1" s="2" t="inlineStr">
        <is>
          <t>Dec</t>
        </is>
      </c>
    </row>
    <row r="2">
      <c r="A2" t="n">
        <v>1</v>
      </c>
      <c r="D2" t="n">
        <v>1</v>
      </c>
      <c r="E2" s="3" t="n"/>
      <c r="G2" t="n">
        <v>1</v>
      </c>
      <c r="H2" s="3" t="n"/>
      <c r="J2" t="n">
        <v>1</v>
      </c>
      <c r="K2" s="3" t="n"/>
      <c r="M2" t="n">
        <v>1</v>
      </c>
      <c r="N2" s="3" t="n"/>
      <c r="P2" t="n">
        <v>1</v>
      </c>
      <c r="Q2" s="3" t="n"/>
      <c r="S2" t="n">
        <v>1</v>
      </c>
      <c r="T2" s="3" t="n"/>
      <c r="V2" t="n">
        <v>1</v>
      </c>
      <c r="W2" s="3" t="n"/>
      <c r="Y2" t="n">
        <v>1</v>
      </c>
      <c r="Z2" s="3" t="n"/>
      <c r="AB2" t="n">
        <v>1</v>
      </c>
      <c r="AC2" s="3" t="n"/>
      <c r="AE2" t="n">
        <v>1</v>
      </c>
      <c r="AF2" s="3" t="n"/>
      <c r="AH2" t="n">
        <v>1</v>
      </c>
      <c r="AI2" s="3" t="n"/>
    </row>
    <row r="3">
      <c r="A3" t="n">
        <v>2</v>
      </c>
      <c r="D3" t="n">
        <v>2</v>
      </c>
      <c r="E3" s="3" t="n"/>
      <c r="G3" t="n">
        <v>2</v>
      </c>
      <c r="H3" s="3" t="n"/>
      <c r="J3" t="n">
        <v>2</v>
      </c>
      <c r="K3" s="3" t="n"/>
      <c r="M3" t="n">
        <v>2</v>
      </c>
      <c r="N3" s="3" t="n"/>
      <c r="P3" t="n">
        <v>2</v>
      </c>
      <c r="Q3" s="3" t="n"/>
      <c r="S3" t="n">
        <v>2</v>
      </c>
      <c r="T3" s="3" t="n"/>
      <c r="V3" t="n">
        <v>2</v>
      </c>
      <c r="W3" s="3" t="n"/>
      <c r="Y3" t="n">
        <v>2</v>
      </c>
      <c r="Z3" s="3" t="n"/>
      <c r="AB3" t="n">
        <v>2</v>
      </c>
      <c r="AC3" s="3" t="n"/>
      <c r="AE3" t="n">
        <v>2</v>
      </c>
      <c r="AF3" s="3" t="n"/>
      <c r="AH3" t="n">
        <v>2</v>
      </c>
      <c r="AI3" s="3" t="n"/>
    </row>
    <row r="4">
      <c r="A4" t="n">
        <v>3</v>
      </c>
      <c r="D4" t="n">
        <v>3</v>
      </c>
      <c r="E4" s="3" t="n"/>
      <c r="G4" t="n">
        <v>3</v>
      </c>
      <c r="H4" s="3" t="n"/>
      <c r="J4" t="n">
        <v>3</v>
      </c>
      <c r="K4" s="3" t="n"/>
      <c r="M4" t="n">
        <v>3</v>
      </c>
      <c r="N4" s="3" t="n"/>
      <c r="P4" t="n">
        <v>3</v>
      </c>
      <c r="Q4" s="3" t="n"/>
      <c r="S4" t="n">
        <v>3</v>
      </c>
      <c r="T4" s="3" t="n"/>
      <c r="V4" t="n">
        <v>3</v>
      </c>
      <c r="W4" s="3" t="n"/>
      <c r="Y4" t="n">
        <v>3</v>
      </c>
      <c r="Z4" s="3" t="n"/>
      <c r="AB4" t="n">
        <v>3</v>
      </c>
      <c r="AC4" s="3" t="n"/>
      <c r="AE4" t="n">
        <v>3</v>
      </c>
      <c r="AF4" s="3" t="n"/>
      <c r="AH4" t="n">
        <v>3</v>
      </c>
      <c r="AI4" s="3" t="n"/>
    </row>
    <row r="5">
      <c r="A5" t="n">
        <v>4</v>
      </c>
      <c r="D5" t="n">
        <v>4</v>
      </c>
      <c r="E5" s="3" t="n"/>
      <c r="G5" t="n">
        <v>4</v>
      </c>
      <c r="H5" s="3" t="n">
        <v>-3880</v>
      </c>
      <c r="J5" t="n">
        <v>4</v>
      </c>
      <c r="K5" s="3" t="n"/>
      <c r="M5" t="n">
        <v>4</v>
      </c>
      <c r="N5" s="3" t="n"/>
      <c r="P5" t="n">
        <v>4</v>
      </c>
      <c r="Q5" s="3" t="n"/>
      <c r="S5" t="n">
        <v>4</v>
      </c>
      <c r="T5" s="3" t="n"/>
      <c r="V5" t="n">
        <v>4</v>
      </c>
      <c r="W5" s="3" t="n"/>
      <c r="Y5" t="n">
        <v>4</v>
      </c>
      <c r="Z5" s="3" t="n"/>
      <c r="AB5" t="n">
        <v>4</v>
      </c>
      <c r="AC5" s="3" t="n"/>
      <c r="AE5" t="n">
        <v>4</v>
      </c>
      <c r="AF5" s="3" t="n"/>
      <c r="AH5" t="n">
        <v>4</v>
      </c>
      <c r="AI5" s="3" t="n"/>
    </row>
    <row r="6">
      <c r="A6" t="n">
        <v>5</v>
      </c>
      <c r="D6" t="n">
        <v>5</v>
      </c>
      <c r="E6" s="3" t="n"/>
      <c r="G6" t="n">
        <v>5</v>
      </c>
      <c r="H6" s="3" t="n"/>
      <c r="J6" t="n">
        <v>5</v>
      </c>
      <c r="K6" s="3" t="n"/>
      <c r="M6" t="n">
        <v>5</v>
      </c>
      <c r="N6" s="3" t="n"/>
      <c r="P6" t="n">
        <v>5</v>
      </c>
      <c r="Q6" s="3" t="n"/>
      <c r="S6" t="n">
        <v>5</v>
      </c>
      <c r="T6" s="3" t="n"/>
      <c r="V6" t="n">
        <v>5</v>
      </c>
      <c r="W6" s="3" t="n"/>
      <c r="Y6" t="n">
        <v>5</v>
      </c>
      <c r="Z6" s="3" t="n"/>
      <c r="AB6" t="n">
        <v>5</v>
      </c>
      <c r="AC6" s="3" t="n"/>
      <c r="AE6" t="n">
        <v>5</v>
      </c>
      <c r="AF6" s="3" t="n"/>
      <c r="AH6" t="n">
        <v>5</v>
      </c>
      <c r="AI6" s="3" t="n"/>
    </row>
    <row r="7">
      <c r="A7" t="n">
        <v>6</v>
      </c>
      <c r="D7" t="n">
        <v>6</v>
      </c>
      <c r="E7" s="3" t="n"/>
      <c r="G7" t="n">
        <v>6</v>
      </c>
      <c r="H7" s="3" t="n"/>
      <c r="J7" t="n">
        <v>6</v>
      </c>
      <c r="K7" s="3" t="n"/>
      <c r="M7" t="n">
        <v>6</v>
      </c>
      <c r="N7" s="3" t="n"/>
      <c r="P7" t="n">
        <v>6</v>
      </c>
      <c r="Q7" s="3" t="n"/>
      <c r="S7" t="n">
        <v>6</v>
      </c>
      <c r="T7" s="3" t="n"/>
      <c r="V7" t="n">
        <v>6</v>
      </c>
      <c r="W7" s="3" t="n"/>
      <c r="Y7" t="n">
        <v>6</v>
      </c>
      <c r="Z7" s="3" t="n"/>
      <c r="AB7" t="n">
        <v>6</v>
      </c>
      <c r="AC7" s="3" t="n"/>
      <c r="AE7" t="n">
        <v>6</v>
      </c>
      <c r="AF7" s="3" t="n"/>
      <c r="AH7" t="n">
        <v>6</v>
      </c>
      <c r="AI7" s="3" t="n"/>
    </row>
    <row r="8">
      <c r="A8" t="n">
        <v>7</v>
      </c>
      <c r="D8" t="n">
        <v>7</v>
      </c>
      <c r="E8" s="3" t="n"/>
      <c r="G8" t="n">
        <v>7</v>
      </c>
      <c r="H8" s="3" t="n"/>
      <c r="J8" t="n">
        <v>7</v>
      </c>
      <c r="K8" s="3" t="n"/>
      <c r="M8" t="n">
        <v>7</v>
      </c>
      <c r="N8" s="3" t="n"/>
      <c r="P8" t="n">
        <v>7</v>
      </c>
      <c r="Q8" s="3" t="n"/>
      <c r="S8" t="n">
        <v>7</v>
      </c>
      <c r="T8" s="3" t="n"/>
      <c r="V8" t="n">
        <v>7</v>
      </c>
      <c r="W8" s="3" t="n"/>
      <c r="Y8" t="n">
        <v>7</v>
      </c>
      <c r="Z8" s="3" t="n"/>
      <c r="AB8" t="n">
        <v>7</v>
      </c>
      <c r="AC8" s="3" t="n"/>
      <c r="AE8" t="n">
        <v>7</v>
      </c>
      <c r="AF8" s="3" t="n"/>
      <c r="AH8" t="n">
        <v>7</v>
      </c>
      <c r="AI8" s="3" t="n"/>
    </row>
    <row r="9">
      <c r="A9" t="n">
        <v>8</v>
      </c>
      <c r="D9" t="n">
        <v>8</v>
      </c>
      <c r="E9" s="3" t="n"/>
      <c r="G9" t="n">
        <v>8</v>
      </c>
      <c r="H9" s="3" t="n"/>
      <c r="J9" t="n">
        <v>8</v>
      </c>
      <c r="K9" s="3" t="n"/>
      <c r="M9" t="n">
        <v>8</v>
      </c>
      <c r="N9" s="3" t="n"/>
      <c r="P9" t="n">
        <v>8</v>
      </c>
      <c r="Q9" s="3" t="n"/>
      <c r="S9" t="n">
        <v>8</v>
      </c>
      <c r="T9" s="3" t="n"/>
      <c r="V9" t="n">
        <v>8</v>
      </c>
      <c r="W9" s="3" t="n"/>
      <c r="Y9" t="n">
        <v>8</v>
      </c>
      <c r="Z9" s="3" t="n"/>
      <c r="AB9" t="n">
        <v>8</v>
      </c>
      <c r="AC9" s="3" t="n"/>
      <c r="AE9" t="n">
        <v>8</v>
      </c>
      <c r="AF9" s="3" t="n"/>
      <c r="AH9" t="n">
        <v>8</v>
      </c>
      <c r="AI9" s="3" t="n"/>
    </row>
    <row r="10">
      <c r="A10" t="n">
        <v>9</v>
      </c>
      <c r="D10" t="n">
        <v>9</v>
      </c>
      <c r="E10" s="3" t="n"/>
      <c r="G10" t="n">
        <v>9</v>
      </c>
      <c r="H10" s="3" t="n"/>
      <c r="J10" t="n">
        <v>9</v>
      </c>
      <c r="K10" s="3" t="n"/>
      <c r="M10" t="n">
        <v>9</v>
      </c>
      <c r="N10" s="3" t="n"/>
      <c r="P10" t="n">
        <v>9</v>
      </c>
      <c r="Q10" s="3" t="n"/>
      <c r="S10" t="n">
        <v>9</v>
      </c>
      <c r="T10" s="3" t="n"/>
      <c r="V10" t="n">
        <v>9</v>
      </c>
      <c r="W10" s="3" t="n"/>
      <c r="Y10" t="n">
        <v>9</v>
      </c>
      <c r="Z10" s="3" t="n"/>
      <c r="AB10" t="n">
        <v>9</v>
      </c>
      <c r="AC10" s="3" t="n"/>
      <c r="AE10" t="n">
        <v>9</v>
      </c>
      <c r="AF10" s="3" t="n"/>
      <c r="AH10" t="n">
        <v>9</v>
      </c>
      <c r="AI10" s="3" t="n"/>
    </row>
    <row r="11">
      <c r="A11" t="n">
        <v>10</v>
      </c>
      <c r="D11" t="n">
        <v>10</v>
      </c>
      <c r="E11" s="3" t="n"/>
      <c r="G11" t="n">
        <v>10</v>
      </c>
      <c r="H11" s="3" t="n"/>
      <c r="J11" t="n">
        <v>10</v>
      </c>
      <c r="K11" s="3" t="n"/>
      <c r="M11" t="n">
        <v>10</v>
      </c>
      <c r="N11" s="3" t="n"/>
      <c r="P11" t="n">
        <v>10</v>
      </c>
      <c r="Q11" s="3" t="n"/>
      <c r="S11" t="n">
        <v>10</v>
      </c>
      <c r="T11" s="3" t="n"/>
      <c r="V11" t="n">
        <v>10</v>
      </c>
      <c r="W11" s="3" t="n"/>
      <c r="Y11" t="n">
        <v>10</v>
      </c>
      <c r="Z11" s="3" t="n"/>
      <c r="AB11" t="n">
        <v>10</v>
      </c>
      <c r="AC11" s="3" t="n"/>
      <c r="AE11" t="n">
        <v>10</v>
      </c>
      <c r="AF11" s="3" t="n"/>
      <c r="AH11" t="n">
        <v>10</v>
      </c>
      <c r="AI11" s="3" t="n"/>
    </row>
    <row r="12">
      <c r="A12" t="n">
        <v>11</v>
      </c>
      <c r="D12" t="n">
        <v>11</v>
      </c>
      <c r="E12" s="3" t="n"/>
      <c r="G12" t="n">
        <v>11</v>
      </c>
      <c r="H12" s="3" t="n">
        <v>-175</v>
      </c>
      <c r="J12" t="n">
        <v>11</v>
      </c>
      <c r="K12" s="3" t="n"/>
      <c r="M12" t="n">
        <v>11</v>
      </c>
      <c r="N12" s="3" t="n"/>
      <c r="P12" t="n">
        <v>11</v>
      </c>
      <c r="Q12" s="3" t="n"/>
      <c r="S12" t="n">
        <v>11</v>
      </c>
      <c r="T12" s="3" t="n"/>
      <c r="V12" t="n">
        <v>11</v>
      </c>
      <c r="W12" s="3" t="n"/>
      <c r="Y12" t="n">
        <v>11</v>
      </c>
      <c r="Z12" s="3" t="n"/>
      <c r="AB12" t="n">
        <v>11</v>
      </c>
      <c r="AC12" s="3" t="n"/>
      <c r="AE12" t="n">
        <v>11</v>
      </c>
      <c r="AF12" s="3" t="n"/>
      <c r="AH12" t="n">
        <v>11</v>
      </c>
      <c r="AI12" s="3" t="n"/>
    </row>
    <row r="13">
      <c r="A13" t="n">
        <v>12</v>
      </c>
      <c r="D13" t="n">
        <v>12</v>
      </c>
      <c r="E13" s="3" t="n"/>
      <c r="G13" t="n">
        <v>12</v>
      </c>
      <c r="H13" s="3" t="n"/>
      <c r="J13" t="n">
        <v>12</v>
      </c>
      <c r="K13" s="3" t="n"/>
      <c r="M13" t="n">
        <v>12</v>
      </c>
      <c r="N13" s="3" t="n"/>
      <c r="P13" t="n">
        <v>12</v>
      </c>
      <c r="Q13" s="3" t="n"/>
      <c r="S13" t="n">
        <v>12</v>
      </c>
      <c r="T13" s="3" t="n"/>
      <c r="V13" t="n">
        <v>12</v>
      </c>
      <c r="W13" s="3" t="n"/>
      <c r="Y13" t="n">
        <v>12</v>
      </c>
      <c r="Z13" s="3" t="n"/>
      <c r="AB13" t="n">
        <v>12</v>
      </c>
      <c r="AC13" s="3" t="n"/>
      <c r="AE13" t="n">
        <v>12</v>
      </c>
      <c r="AF13" s="3" t="n"/>
      <c r="AH13" t="n">
        <v>12</v>
      </c>
      <c r="AI13" s="3" t="n"/>
    </row>
    <row r="14">
      <c r="A14" t="n">
        <v>13</v>
      </c>
      <c r="D14" t="n">
        <v>13</v>
      </c>
      <c r="E14" s="3" t="n"/>
      <c r="G14" t="n">
        <v>13</v>
      </c>
      <c r="H14" s="3" t="n"/>
      <c r="J14" t="n">
        <v>13</v>
      </c>
      <c r="K14" s="3" t="n"/>
      <c r="M14" t="n">
        <v>13</v>
      </c>
      <c r="N14" s="3" t="n"/>
      <c r="P14" t="n">
        <v>13</v>
      </c>
      <c r="Q14" s="3" t="n"/>
      <c r="S14" t="n">
        <v>13</v>
      </c>
      <c r="T14" s="3" t="n"/>
      <c r="V14" t="n">
        <v>13</v>
      </c>
      <c r="W14" s="3" t="n"/>
      <c r="Y14" t="n">
        <v>13</v>
      </c>
      <c r="Z14" s="3" t="n"/>
      <c r="AB14" t="n">
        <v>13</v>
      </c>
      <c r="AC14" s="3" t="n"/>
      <c r="AE14" t="n">
        <v>13</v>
      </c>
      <c r="AF14" s="3" t="n"/>
      <c r="AH14" t="n">
        <v>13</v>
      </c>
      <c r="AI14" s="3" t="n"/>
    </row>
    <row r="15">
      <c r="A15" t="n">
        <v>14</v>
      </c>
      <c r="D15" t="n">
        <v>14</v>
      </c>
      <c r="E15" s="3" t="n"/>
      <c r="G15" t="n">
        <v>14</v>
      </c>
      <c r="H15" s="3" t="n"/>
      <c r="J15" t="n">
        <v>14</v>
      </c>
      <c r="K15" s="3" t="n"/>
      <c r="M15" t="n">
        <v>14</v>
      </c>
      <c r="N15" s="3" t="n"/>
      <c r="P15" t="n">
        <v>14</v>
      </c>
      <c r="Q15" s="3" t="n"/>
      <c r="S15" t="n">
        <v>14</v>
      </c>
      <c r="T15" s="3" t="n"/>
      <c r="V15" t="n">
        <v>14</v>
      </c>
      <c r="W15" s="3" t="n"/>
      <c r="Y15" t="n">
        <v>14</v>
      </c>
      <c r="Z15" s="3" t="n"/>
      <c r="AB15" t="n">
        <v>14</v>
      </c>
      <c r="AC15" s="3" t="n"/>
      <c r="AE15" t="n">
        <v>14</v>
      </c>
      <c r="AF15" s="3" t="n"/>
      <c r="AH15" t="n">
        <v>14</v>
      </c>
      <c r="AI15" s="3" t="n"/>
    </row>
    <row r="16">
      <c r="A16" t="n">
        <v>15</v>
      </c>
      <c r="D16" t="n">
        <v>15</v>
      </c>
      <c r="E16" s="3" t="n"/>
      <c r="G16" t="n">
        <v>15</v>
      </c>
      <c r="H16" s="3" t="n"/>
      <c r="J16" t="n">
        <v>15</v>
      </c>
      <c r="K16" s="3" t="n"/>
      <c r="M16" t="n">
        <v>15</v>
      </c>
      <c r="N16" s="3" t="n"/>
      <c r="P16" t="n">
        <v>15</v>
      </c>
      <c r="Q16" s="3" t="n"/>
      <c r="S16" t="n">
        <v>15</v>
      </c>
      <c r="T16" s="3" t="n"/>
      <c r="V16" t="n">
        <v>15</v>
      </c>
      <c r="W16" s="3" t="n"/>
      <c r="Y16" t="n">
        <v>15</v>
      </c>
      <c r="Z16" s="3" t="n"/>
      <c r="AB16" t="n">
        <v>15</v>
      </c>
      <c r="AC16" s="3" t="n"/>
      <c r="AE16" t="n">
        <v>15</v>
      </c>
      <c r="AF16" s="3" t="n"/>
      <c r="AH16" t="n">
        <v>15</v>
      </c>
      <c r="AI16" s="3" t="n"/>
    </row>
    <row r="17">
      <c r="A17" t="n">
        <v>16</v>
      </c>
      <c r="D17" t="n">
        <v>16</v>
      </c>
      <c r="E17" s="3" t="n"/>
      <c r="G17" t="n">
        <v>16</v>
      </c>
      <c r="H17" s="3" t="n"/>
      <c r="J17" t="n">
        <v>16</v>
      </c>
      <c r="K17" s="3" t="n"/>
      <c r="M17" t="n">
        <v>16</v>
      </c>
      <c r="N17" s="3" t="n"/>
      <c r="P17" t="n">
        <v>16</v>
      </c>
      <c r="Q17" s="3" t="n"/>
      <c r="S17" t="n">
        <v>16</v>
      </c>
      <c r="T17" s="3" t="n"/>
      <c r="V17" t="n">
        <v>16</v>
      </c>
      <c r="W17" s="3" t="n"/>
      <c r="Y17" t="n">
        <v>16</v>
      </c>
      <c r="Z17" s="3" t="n"/>
      <c r="AB17" t="n">
        <v>16</v>
      </c>
      <c r="AC17" s="3" t="n"/>
      <c r="AE17" t="n">
        <v>16</v>
      </c>
      <c r="AF17" s="3" t="n"/>
      <c r="AH17" t="n">
        <v>16</v>
      </c>
      <c r="AI17" s="3" t="n"/>
    </row>
    <row r="18">
      <c r="A18" t="n">
        <v>17</v>
      </c>
      <c r="D18" t="n">
        <v>17</v>
      </c>
      <c r="E18" s="3" t="n"/>
      <c r="G18" t="n">
        <v>17</v>
      </c>
      <c r="H18" s="3" t="n"/>
      <c r="J18" t="n">
        <v>17</v>
      </c>
      <c r="K18" s="3" t="n"/>
      <c r="M18" t="n">
        <v>17</v>
      </c>
      <c r="N18" s="3" t="n"/>
      <c r="P18" t="n">
        <v>17</v>
      </c>
      <c r="Q18" s="3" t="n"/>
      <c r="S18" t="n">
        <v>17</v>
      </c>
      <c r="T18" s="3" t="n"/>
      <c r="V18" t="n">
        <v>17</v>
      </c>
      <c r="W18" s="3" t="n"/>
      <c r="Y18" t="n">
        <v>17</v>
      </c>
      <c r="Z18" s="3" t="n"/>
      <c r="AB18" t="n">
        <v>17</v>
      </c>
      <c r="AC18" s="3" t="n"/>
      <c r="AE18" t="n">
        <v>17</v>
      </c>
      <c r="AF18" s="3" t="n"/>
      <c r="AH18" t="n">
        <v>17</v>
      </c>
      <c r="AI18" s="3" t="n"/>
    </row>
    <row r="19">
      <c r="A19" t="n">
        <v>18</v>
      </c>
      <c r="D19" t="n">
        <v>18</v>
      </c>
      <c r="E19" s="3" t="n">
        <v>220</v>
      </c>
      <c r="G19" t="n">
        <v>18</v>
      </c>
      <c r="H19" s="3" t="n"/>
      <c r="J19" t="n">
        <v>18</v>
      </c>
      <c r="K19" s="3" t="n"/>
      <c r="M19" t="n">
        <v>18</v>
      </c>
      <c r="N19" s="3" t="n"/>
      <c r="P19" t="n">
        <v>18</v>
      </c>
      <c r="Q19" s="3" t="n"/>
      <c r="S19" t="n">
        <v>18</v>
      </c>
      <c r="T19" s="3" t="n"/>
      <c r="V19" t="n">
        <v>18</v>
      </c>
      <c r="W19" s="3" t="n"/>
      <c r="Y19" t="n">
        <v>18</v>
      </c>
      <c r="Z19" s="3" t="n"/>
      <c r="AB19" t="n">
        <v>18</v>
      </c>
      <c r="AC19" s="3" t="n"/>
      <c r="AE19" t="n">
        <v>18</v>
      </c>
      <c r="AF19" s="3" t="n"/>
      <c r="AH19" t="n">
        <v>18</v>
      </c>
      <c r="AI19" s="3" t="n"/>
    </row>
    <row r="20">
      <c r="A20" t="n">
        <v>19</v>
      </c>
      <c r="D20" t="n">
        <v>19</v>
      </c>
      <c r="E20" s="3" t="n"/>
      <c r="G20" t="n">
        <v>19</v>
      </c>
      <c r="H20" s="3" t="n"/>
      <c r="J20" t="n">
        <v>19</v>
      </c>
      <c r="K20" s="3" t="n"/>
      <c r="M20" t="n">
        <v>19</v>
      </c>
      <c r="N20" s="3" t="n"/>
      <c r="P20" t="n">
        <v>19</v>
      </c>
      <c r="Q20" s="3" t="n"/>
      <c r="S20" t="n">
        <v>19</v>
      </c>
      <c r="T20" s="3" t="n"/>
      <c r="V20" t="n">
        <v>19</v>
      </c>
      <c r="W20" s="3" t="n"/>
      <c r="Y20" t="n">
        <v>19</v>
      </c>
      <c r="Z20" s="3" t="n"/>
      <c r="AB20" t="n">
        <v>19</v>
      </c>
      <c r="AC20" s="3" t="n"/>
      <c r="AE20" t="n">
        <v>19</v>
      </c>
      <c r="AF20" s="3" t="n"/>
      <c r="AH20" t="n">
        <v>19</v>
      </c>
      <c r="AI20" s="3" t="n"/>
    </row>
    <row r="21">
      <c r="A21" t="n">
        <v>20</v>
      </c>
      <c r="D21" t="n">
        <v>20</v>
      </c>
      <c r="E21" s="3" t="n"/>
      <c r="G21" t="n">
        <v>20</v>
      </c>
      <c r="H21" s="3" t="n"/>
      <c r="J21" t="n">
        <v>20</v>
      </c>
      <c r="K21" s="3" t="n"/>
      <c r="M21" t="n">
        <v>20</v>
      </c>
      <c r="N21" s="3" t="n"/>
      <c r="P21" t="n">
        <v>20</v>
      </c>
      <c r="Q21" s="3" t="n"/>
      <c r="S21" t="n">
        <v>20</v>
      </c>
      <c r="T21" s="3" t="n"/>
      <c r="V21" t="n">
        <v>20</v>
      </c>
      <c r="W21" s="3" t="n"/>
      <c r="Y21" t="n">
        <v>20</v>
      </c>
      <c r="Z21" s="3" t="n"/>
      <c r="AB21" t="n">
        <v>20</v>
      </c>
      <c r="AC21" s="3" t="n"/>
      <c r="AE21" t="n">
        <v>20</v>
      </c>
      <c r="AF21" s="3" t="n"/>
      <c r="AH21" t="n">
        <v>20</v>
      </c>
      <c r="AI21" s="3" t="n"/>
    </row>
    <row r="22">
      <c r="A22" t="n">
        <v>21</v>
      </c>
      <c r="B22" s="3" t="n">
        <v>1665</v>
      </c>
      <c r="D22" t="n">
        <v>21</v>
      </c>
      <c r="E22" s="3" t="n"/>
      <c r="G22" t="n">
        <v>21</v>
      </c>
      <c r="H22" s="3" t="n"/>
      <c r="J22" t="n">
        <v>21</v>
      </c>
      <c r="K22" s="3" t="n"/>
      <c r="M22" t="n">
        <v>21</v>
      </c>
      <c r="N22" s="3" t="n"/>
      <c r="P22" t="n">
        <v>21</v>
      </c>
      <c r="Q22" s="3" t="n"/>
      <c r="S22" t="n">
        <v>21</v>
      </c>
      <c r="T22" s="3" t="n"/>
      <c r="V22" t="n">
        <v>21</v>
      </c>
      <c r="W22" s="3" t="n"/>
      <c r="Y22" t="n">
        <v>21</v>
      </c>
      <c r="Z22" s="3" t="n"/>
      <c r="AB22" t="n">
        <v>21</v>
      </c>
      <c r="AC22" s="3" t="n"/>
      <c r="AE22" t="n">
        <v>21</v>
      </c>
      <c r="AF22" s="3" t="n"/>
      <c r="AH22" t="n">
        <v>21</v>
      </c>
      <c r="AI22" s="3" t="n"/>
    </row>
    <row r="23">
      <c r="A23" t="n">
        <v>22</v>
      </c>
      <c r="B23" s="3" t="n">
        <v>-2130</v>
      </c>
      <c r="D23" t="n">
        <v>22</v>
      </c>
      <c r="E23" s="3" t="n"/>
      <c r="G23" t="n">
        <v>22</v>
      </c>
      <c r="H23" s="3" t="n"/>
      <c r="J23" t="n">
        <v>22</v>
      </c>
      <c r="K23" s="3" t="n"/>
      <c r="M23" t="n">
        <v>22</v>
      </c>
      <c r="N23" s="3" t="n"/>
      <c r="P23" t="n">
        <v>22</v>
      </c>
      <c r="Q23" s="3" t="n"/>
      <c r="S23" t="n">
        <v>22</v>
      </c>
      <c r="T23" s="3" t="n"/>
      <c r="V23" t="n">
        <v>22</v>
      </c>
      <c r="W23" s="3" t="n"/>
      <c r="Y23" t="n">
        <v>22</v>
      </c>
      <c r="Z23" s="3" t="n"/>
      <c r="AB23" t="n">
        <v>22</v>
      </c>
      <c r="AC23" s="3" t="n"/>
      <c r="AE23" t="n">
        <v>22</v>
      </c>
      <c r="AF23" s="3" t="n"/>
      <c r="AH23" t="n">
        <v>22</v>
      </c>
      <c r="AI23" s="3" t="n"/>
    </row>
    <row r="24">
      <c r="A24" t="n">
        <v>23</v>
      </c>
      <c r="D24" t="n">
        <v>23</v>
      </c>
      <c r="E24" s="3" t="n"/>
      <c r="G24" t="n">
        <v>23</v>
      </c>
      <c r="H24" s="3" t="n"/>
      <c r="J24" t="n">
        <v>23</v>
      </c>
      <c r="K24" s="3" t="n"/>
      <c r="M24" t="n">
        <v>23</v>
      </c>
      <c r="N24" s="3" t="n"/>
      <c r="P24" t="n">
        <v>23</v>
      </c>
      <c r="Q24" s="3" t="n"/>
      <c r="S24" t="n">
        <v>23</v>
      </c>
      <c r="T24" s="3" t="n"/>
      <c r="V24" t="n">
        <v>23</v>
      </c>
      <c r="W24" s="3" t="n"/>
      <c r="Y24" t="n">
        <v>23</v>
      </c>
      <c r="Z24" s="3" t="n"/>
      <c r="AB24" t="n">
        <v>23</v>
      </c>
      <c r="AC24" s="3" t="n"/>
      <c r="AE24" t="n">
        <v>23</v>
      </c>
      <c r="AF24" s="3" t="n"/>
      <c r="AH24" t="n">
        <v>23</v>
      </c>
      <c r="AI24" s="3" t="n"/>
    </row>
    <row r="25">
      <c r="A25" t="n">
        <v>24</v>
      </c>
      <c r="D25" t="n">
        <v>24</v>
      </c>
      <c r="E25" s="3" t="n"/>
      <c r="G25" t="n">
        <v>24</v>
      </c>
      <c r="H25" s="3" t="n"/>
      <c r="J25" t="n">
        <v>24</v>
      </c>
      <c r="K25" s="3" t="n"/>
      <c r="M25" t="n">
        <v>24</v>
      </c>
      <c r="N25" s="3" t="n"/>
      <c r="P25" t="n">
        <v>24</v>
      </c>
      <c r="Q25" s="3" t="n"/>
      <c r="S25" t="n">
        <v>24</v>
      </c>
      <c r="T25" s="3" t="n"/>
      <c r="V25" t="n">
        <v>24</v>
      </c>
      <c r="W25" s="3" t="n"/>
      <c r="Y25" t="n">
        <v>24</v>
      </c>
      <c r="Z25" s="3" t="n"/>
      <c r="AB25" t="n">
        <v>24</v>
      </c>
      <c r="AC25" s="3" t="n"/>
      <c r="AE25" t="n">
        <v>24</v>
      </c>
      <c r="AF25" s="3" t="n"/>
      <c r="AH25" t="n">
        <v>24</v>
      </c>
      <c r="AI25" s="3" t="n"/>
    </row>
    <row r="26">
      <c r="A26" t="n">
        <v>25</v>
      </c>
      <c r="D26" t="n">
        <v>25</v>
      </c>
      <c r="E26" s="3" t="n"/>
      <c r="G26" t="n">
        <v>25</v>
      </c>
      <c r="H26" s="3" t="n"/>
      <c r="J26" t="n">
        <v>25</v>
      </c>
      <c r="K26" s="3" t="n"/>
      <c r="M26" t="n">
        <v>25</v>
      </c>
      <c r="N26" s="3" t="n"/>
      <c r="P26" t="n">
        <v>25</v>
      </c>
      <c r="Q26" s="3" t="n"/>
      <c r="S26" t="n">
        <v>25</v>
      </c>
      <c r="T26" s="3" t="n"/>
      <c r="V26" t="n">
        <v>25</v>
      </c>
      <c r="W26" s="3" t="n"/>
      <c r="Y26" t="n">
        <v>25</v>
      </c>
      <c r="Z26" s="3" t="n"/>
      <c r="AB26" t="n">
        <v>25</v>
      </c>
      <c r="AC26" s="3" t="n"/>
      <c r="AE26" t="n">
        <v>25</v>
      </c>
      <c r="AF26" s="3" t="n"/>
      <c r="AH26" t="n">
        <v>25</v>
      </c>
      <c r="AI26" s="3" t="n"/>
    </row>
    <row r="27">
      <c r="A27" t="n">
        <v>26</v>
      </c>
      <c r="D27" t="n">
        <v>26</v>
      </c>
      <c r="E27" s="3" t="n"/>
      <c r="G27" t="n">
        <v>26</v>
      </c>
      <c r="H27" s="3" t="n"/>
      <c r="J27" t="n">
        <v>26</v>
      </c>
      <c r="K27" s="3" t="n"/>
      <c r="M27" t="n">
        <v>26</v>
      </c>
      <c r="N27" s="3" t="n"/>
      <c r="P27" t="n">
        <v>26</v>
      </c>
      <c r="Q27" s="3" t="n"/>
      <c r="S27" t="n">
        <v>26</v>
      </c>
      <c r="T27" s="3" t="n"/>
      <c r="V27" t="n">
        <v>26</v>
      </c>
      <c r="W27" s="3" t="n"/>
      <c r="Y27" t="n">
        <v>26</v>
      </c>
      <c r="Z27" s="3" t="n"/>
      <c r="AB27" t="n">
        <v>26</v>
      </c>
      <c r="AC27" s="3" t="n"/>
      <c r="AE27" t="n">
        <v>26</v>
      </c>
      <c r="AF27" s="3" t="n"/>
      <c r="AH27" t="n">
        <v>26</v>
      </c>
      <c r="AI27" s="3" t="n"/>
    </row>
    <row r="28">
      <c r="A28" t="n">
        <v>27</v>
      </c>
      <c r="D28" t="n">
        <v>27</v>
      </c>
      <c r="E28" s="3" t="n"/>
      <c r="G28" t="n">
        <v>27</v>
      </c>
      <c r="H28" s="3" t="n"/>
      <c r="J28" t="n">
        <v>27</v>
      </c>
      <c r="K28" s="3" t="n"/>
      <c r="M28" t="n">
        <v>27</v>
      </c>
      <c r="N28" s="3" t="n"/>
      <c r="P28" t="n">
        <v>27</v>
      </c>
      <c r="Q28" s="3" t="n"/>
      <c r="S28" t="n">
        <v>27</v>
      </c>
      <c r="T28" s="3" t="n"/>
      <c r="V28" t="n">
        <v>27</v>
      </c>
      <c r="W28" s="3" t="n"/>
      <c r="Y28" t="n">
        <v>27</v>
      </c>
      <c r="Z28" s="3" t="n"/>
      <c r="AB28" t="n">
        <v>27</v>
      </c>
      <c r="AC28" s="3" t="n"/>
      <c r="AE28" t="n">
        <v>27</v>
      </c>
      <c r="AF28" s="3" t="n"/>
      <c r="AH28" t="n">
        <v>27</v>
      </c>
      <c r="AI28" s="3" t="n"/>
    </row>
    <row r="29">
      <c r="A29" t="n">
        <v>28</v>
      </c>
      <c r="D29" t="n">
        <v>28</v>
      </c>
      <c r="E29" s="3" t="n"/>
      <c r="G29" t="n">
        <v>28</v>
      </c>
      <c r="H29" s="3" t="n"/>
      <c r="J29" t="n">
        <v>28</v>
      </c>
      <c r="K29" s="3" t="n"/>
      <c r="M29" t="n">
        <v>28</v>
      </c>
      <c r="N29" s="3" t="n"/>
      <c r="P29" t="n">
        <v>28</v>
      </c>
      <c r="Q29" s="3" t="n"/>
      <c r="S29" t="n">
        <v>28</v>
      </c>
      <c r="T29" s="3" t="n"/>
      <c r="V29" t="n">
        <v>28</v>
      </c>
      <c r="W29" s="3" t="n"/>
      <c r="Y29" t="n">
        <v>28</v>
      </c>
      <c r="Z29" s="3" t="n"/>
      <c r="AB29" t="n">
        <v>28</v>
      </c>
      <c r="AC29" s="3" t="n"/>
      <c r="AE29" t="n">
        <v>28</v>
      </c>
      <c r="AF29" s="3" t="n"/>
      <c r="AH29" t="n">
        <v>28</v>
      </c>
      <c r="AI29" s="3" t="n"/>
    </row>
    <row r="30">
      <c r="A30" t="n">
        <v>29</v>
      </c>
      <c r="D30" t="n">
        <v>29</v>
      </c>
      <c r="E30" s="3" t="n"/>
      <c r="G30" t="n">
        <v>29</v>
      </c>
      <c r="H30" s="3" t="n"/>
      <c r="J30" t="n">
        <v>29</v>
      </c>
      <c r="K30" s="3" t="n"/>
      <c r="M30" t="n">
        <v>29</v>
      </c>
      <c r="N30" s="3" t="n"/>
      <c r="P30" t="n">
        <v>29</v>
      </c>
      <c r="Q30" s="3" t="n"/>
      <c r="S30" t="n">
        <v>29</v>
      </c>
      <c r="T30" s="3" t="n"/>
      <c r="V30" t="n">
        <v>29</v>
      </c>
      <c r="W30" s="3" t="n"/>
      <c r="Y30" t="n">
        <v>29</v>
      </c>
      <c r="Z30" s="3" t="n"/>
      <c r="AB30" t="n">
        <v>29</v>
      </c>
      <c r="AC30" s="3" t="n"/>
      <c r="AE30" t="n">
        <v>29</v>
      </c>
      <c r="AF30" s="3" t="n"/>
      <c r="AH30" t="n">
        <v>29</v>
      </c>
      <c r="AI30" s="3" t="n"/>
    </row>
    <row r="31">
      <c r="A31" t="n">
        <v>30</v>
      </c>
      <c r="D31" t="n">
        <v>30</v>
      </c>
      <c r="E31" s="3" t="n"/>
      <c r="G31" t="n">
        <v>30</v>
      </c>
      <c r="H31" s="3" t="n"/>
      <c r="J31" t="n">
        <v>30</v>
      </c>
      <c r="K31" s="3" t="n"/>
      <c r="M31" t="n">
        <v>30</v>
      </c>
      <c r="N31" s="3" t="n"/>
      <c r="P31" t="n">
        <v>30</v>
      </c>
      <c r="S31" t="n">
        <v>30</v>
      </c>
      <c r="V31" t="n">
        <v>30</v>
      </c>
      <c r="Y31" t="n">
        <v>30</v>
      </c>
      <c r="AB31" t="n">
        <v>30</v>
      </c>
      <c r="AC31" s="3" t="n"/>
      <c r="AE31" t="n">
        <v>30</v>
      </c>
      <c r="AF31" s="3" t="n"/>
      <c r="AH31" t="n">
        <v>30</v>
      </c>
      <c r="AI31" s="3" t="n"/>
    </row>
    <row r="32">
      <c r="A32" t="n">
        <v>31</v>
      </c>
      <c r="D32" t="n">
        <v>31</v>
      </c>
      <c r="E32" s="3" t="n"/>
      <c r="G32" t="n">
        <v>31</v>
      </c>
      <c r="H32" s="3" t="n"/>
      <c r="J32" t="n">
        <v>31</v>
      </c>
      <c r="K32" s="3" t="n"/>
      <c r="M32" t="n">
        <v>31</v>
      </c>
      <c r="N32" s="3" t="n"/>
      <c r="P32" t="n">
        <v>31</v>
      </c>
      <c r="S32" t="n">
        <v>31</v>
      </c>
      <c r="V32" t="n">
        <v>31</v>
      </c>
      <c r="Y32" t="n">
        <v>31</v>
      </c>
      <c r="AB32" t="n">
        <v>31</v>
      </c>
      <c r="AC32" s="3" t="n"/>
      <c r="AE32" t="n">
        <v>31</v>
      </c>
      <c r="AF32" s="3" t="n"/>
      <c r="AH32" t="n">
        <v>31</v>
      </c>
      <c r="AI32" s="3" t="n"/>
    </row>
    <row r="33">
      <c r="E33" s="3" t="n"/>
      <c r="H33" s="3" t="n"/>
    </row>
    <row r="34">
      <c r="E34" s="3" t="n"/>
      <c r="H34" s="3" t="n"/>
    </row>
    <row r="35">
      <c r="A35" t="inlineStr">
        <is>
          <t>Total</t>
        </is>
      </c>
      <c r="B35" s="3">
        <f>SUM(B2:B34)</f>
        <v/>
      </c>
      <c r="E35" s="3">
        <f>SUM(E2:E27)</f>
        <v/>
      </c>
      <c r="H35" s="3">
        <f>SUM(H2:H34)</f>
        <v/>
      </c>
      <c r="K35" s="3">
        <f>SUM(K2:K34)</f>
        <v/>
      </c>
      <c r="N35" s="3">
        <f>SUM(N2:N34)</f>
        <v/>
      </c>
      <c r="Q35" s="3">
        <f>SUM(Q2:Q34)</f>
        <v/>
      </c>
      <c r="T35" s="3">
        <f>SUM(T2:T34)</f>
        <v/>
      </c>
      <c r="W35" s="3">
        <f>SUM(W2:W34)</f>
        <v/>
      </c>
      <c r="Z35" s="3">
        <f>SUM(Z2:Z34)</f>
        <v/>
      </c>
      <c r="AC35" s="3">
        <f>SUM(AC2:AC34)</f>
        <v/>
      </c>
      <c r="AF35" s="3">
        <f>SUM(AF2:AF34)</f>
        <v/>
      </c>
      <c r="AI35" s="3">
        <f>SUM(AI2:AI34)</f>
        <v/>
      </c>
    </row>
  </sheetData>
  <mergeCells count="3">
    <mergeCell ref="D1:E1"/>
    <mergeCell ref="G1:H1"/>
    <mergeCell ref="A1:B1"/>
  </mergeCells>
  <conditionalFormatting sqref="B2:B32">
    <cfRule type="cellIs" priority="43" operator="lessThan" dxfId="1">
      <formula>0</formula>
    </cfRule>
    <cfRule type="cellIs" priority="44" operator="greaterThan" dxfId="0">
      <formula>0</formula>
    </cfRule>
  </conditionalFormatting>
  <conditionalFormatting sqref="B35">
    <cfRule type="cellIs" priority="42" operator="greaterThan" dxfId="0">
      <formula>0</formula>
    </cfRule>
    <cfRule type="cellIs" priority="41" operator="lessThan" dxfId="1">
      <formula>0</formula>
    </cfRule>
  </conditionalFormatting>
  <conditionalFormatting sqref="E2:E35">
    <cfRule type="cellIs" priority="39" operator="lessThan" dxfId="1">
      <formula>0</formula>
    </cfRule>
    <cfRule type="cellIs" priority="40" operator="greaterThan" dxfId="0">
      <formula>0</formula>
    </cfRule>
  </conditionalFormatting>
  <conditionalFormatting sqref="H2:H35">
    <cfRule type="cellIs" priority="34" operator="greaterThan" dxfId="0">
      <formula>0</formula>
    </cfRule>
    <cfRule type="cellIs" priority="33" operator="lessThan" dxfId="1">
      <formula>0</formula>
    </cfRule>
  </conditionalFormatting>
  <conditionalFormatting sqref="K2:K32">
    <cfRule type="cellIs" priority="38" operator="greaterThan" dxfId="0">
      <formula>0</formula>
    </cfRule>
    <cfRule type="cellIs" priority="37" operator="lessThan" dxfId="1">
      <formula>0</formula>
    </cfRule>
  </conditionalFormatting>
  <conditionalFormatting sqref="K35">
    <cfRule type="cellIs" priority="36" operator="greaterThan" dxfId="0">
      <formula>0</formula>
    </cfRule>
    <cfRule type="cellIs" priority="35" operator="lessThan" dxfId="1">
      <formula>0</formula>
    </cfRule>
  </conditionalFormatting>
  <conditionalFormatting sqref="N2:N32">
    <cfRule type="cellIs" priority="32" operator="greaterThan" dxfId="0">
      <formula>0</formula>
    </cfRule>
    <cfRule type="cellIs" priority="31" operator="lessThan" dxfId="1">
      <formula>0</formula>
    </cfRule>
  </conditionalFormatting>
  <conditionalFormatting sqref="N35">
    <cfRule type="cellIs" priority="30" operator="greaterThan" dxfId="0">
      <formula>0</formula>
    </cfRule>
    <cfRule type="cellIs" priority="29" operator="lessThan" dxfId="1">
      <formula>0</formula>
    </cfRule>
  </conditionalFormatting>
  <conditionalFormatting sqref="Q2:Q30">
    <cfRule type="cellIs" priority="28" operator="greaterThan" dxfId="0">
      <formula>0</formula>
    </cfRule>
    <cfRule type="cellIs" priority="27" operator="lessThan" dxfId="1">
      <formula>0</formula>
    </cfRule>
  </conditionalFormatting>
  <conditionalFormatting sqref="Q35">
    <cfRule type="cellIs" priority="26" operator="greaterThan" dxfId="0">
      <formula>0</formula>
    </cfRule>
    <cfRule type="cellIs" priority="25" operator="lessThan" dxfId="1">
      <formula>0</formula>
    </cfRule>
  </conditionalFormatting>
  <conditionalFormatting sqref="T2:T30">
    <cfRule type="cellIs" priority="23" operator="lessThan" dxfId="1">
      <formula>0</formula>
    </cfRule>
    <cfRule type="cellIs" priority="24" operator="greaterThan" dxfId="0">
      <formula>0</formula>
    </cfRule>
  </conditionalFormatting>
  <conditionalFormatting sqref="T35">
    <cfRule type="cellIs" priority="22" operator="greaterThan" dxfId="0">
      <formula>0</formula>
    </cfRule>
    <cfRule type="cellIs" priority="21" operator="lessThan" dxfId="1">
      <formula>0</formula>
    </cfRule>
  </conditionalFormatting>
  <conditionalFormatting sqref="W2:W30">
    <cfRule type="cellIs" priority="20" operator="greaterThan" dxfId="0">
      <formula>0</formula>
    </cfRule>
    <cfRule type="cellIs" priority="19" operator="lessThan" dxfId="1">
      <formula>0</formula>
    </cfRule>
  </conditionalFormatting>
  <conditionalFormatting sqref="W35">
    <cfRule type="cellIs" priority="18" operator="greaterThan" dxfId="0">
      <formula>0</formula>
    </cfRule>
    <cfRule type="cellIs" priority="17" operator="lessThan" dxfId="1">
      <formula>0</formula>
    </cfRule>
  </conditionalFormatting>
  <conditionalFormatting sqref="Z2:Z30">
    <cfRule type="cellIs" priority="16" operator="greaterThan" dxfId="0">
      <formula>0</formula>
    </cfRule>
    <cfRule type="cellIs" priority="15" operator="lessThan" dxfId="1">
      <formula>0</formula>
    </cfRule>
  </conditionalFormatting>
  <conditionalFormatting sqref="Z35">
    <cfRule type="cellIs" priority="14" operator="greaterThan" dxfId="0">
      <formula>0</formula>
    </cfRule>
    <cfRule type="cellIs" priority="13" operator="lessThan" dxfId="1">
      <formula>0</formula>
    </cfRule>
  </conditionalFormatting>
  <conditionalFormatting sqref="AC2:AC32">
    <cfRule type="cellIs" priority="11" operator="lessThan" dxfId="1">
      <formula>0</formula>
    </cfRule>
    <cfRule type="cellIs" priority="12" operator="greaterThan" dxfId="0">
      <formula>0</formula>
    </cfRule>
  </conditionalFormatting>
  <conditionalFormatting sqref="AC35">
    <cfRule type="cellIs" priority="10" operator="greaterThan" dxfId="0">
      <formula>0</formula>
    </cfRule>
    <cfRule type="cellIs" priority="9" operator="lessThan" dxfId="1">
      <formula>0</formula>
    </cfRule>
  </conditionalFormatting>
  <conditionalFormatting sqref="AF2:AF32">
    <cfRule type="cellIs" priority="8" operator="greaterThan" dxfId="0">
      <formula>0</formula>
    </cfRule>
    <cfRule type="cellIs" priority="7" operator="lessThan" dxfId="1">
      <formula>0</formula>
    </cfRule>
  </conditionalFormatting>
  <conditionalFormatting sqref="AF35">
    <cfRule type="cellIs" priority="6" operator="greaterThan" dxfId="0">
      <formula>0</formula>
    </cfRule>
    <cfRule type="cellIs" priority="5" operator="lessThan" dxfId="1">
      <formula>0</formula>
    </cfRule>
  </conditionalFormatting>
  <conditionalFormatting sqref="AI2:AI32">
    <cfRule type="cellIs" priority="4" operator="greaterThan" dxfId="0">
      <formula>0</formula>
    </cfRule>
    <cfRule type="cellIs" priority="3" operator="lessThan" dxfId="1">
      <formula>0</formula>
    </cfRule>
  </conditionalFormatting>
  <conditionalFormatting sqref="AI35">
    <cfRule type="cellIs" priority="2" operator="greaterThan" dxfId="0">
      <formula>0</formula>
    </cfRule>
    <cfRule type="cellIs" priority="1" operator="lessThan" dxfId="1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selection activeCell="E14" sqref="E14"/>
    </sheetView>
  </sheetViews>
  <sheetFormatPr baseColWidth="8" defaultRowHeight="15"/>
  <cols>
    <col width="18.42578125" customWidth="1" min="1" max="1"/>
    <col width="15.42578125" customWidth="1" style="3" min="2" max="2"/>
    <col width="11.5703125" customWidth="1" min="4" max="4"/>
    <col width="12.5703125" customWidth="1" min="5" max="5"/>
    <col width="11.5703125" customWidth="1" min="7" max="7"/>
    <col width="12.5703125" customWidth="1" min="8" max="8"/>
    <col width="11.5703125" customWidth="1" min="10" max="10"/>
    <col width="10.140625" bestFit="1" customWidth="1" min="11" max="11"/>
    <col width="10.42578125" bestFit="1" customWidth="1" min="13" max="13"/>
    <col width="10.85546875" bestFit="1" customWidth="1" min="14" max="14"/>
    <col width="10.85546875" bestFit="1" customWidth="1" min="17" max="17"/>
    <col width="10.85546875" bestFit="1" customWidth="1" min="20" max="20"/>
    <col width="10.85546875" bestFit="1" customWidth="1" min="23" max="23"/>
    <col width="10.85546875" bestFit="1" customWidth="1" min="26" max="26"/>
    <col width="10.85546875" bestFit="1" customWidth="1" min="29" max="29"/>
    <col width="10.85546875" bestFit="1" customWidth="1" min="32" max="32"/>
    <col width="10.140625" bestFit="1" customWidth="1" min="35" max="35"/>
  </cols>
  <sheetData>
    <row r="1" customFormat="1" s="2">
      <c r="A1" s="9" t="inlineStr">
        <is>
          <t>January</t>
        </is>
      </c>
      <c r="D1" s="9" t="inlineStr">
        <is>
          <t>February</t>
        </is>
      </c>
      <c r="G1" s="9" t="inlineStr">
        <is>
          <t>March</t>
        </is>
      </c>
      <c r="J1" s="2" t="inlineStr">
        <is>
          <t>April</t>
        </is>
      </c>
      <c r="M1" s="2" t="inlineStr">
        <is>
          <t>May</t>
        </is>
      </c>
      <c r="P1" s="2" t="inlineStr">
        <is>
          <t>Jun</t>
        </is>
      </c>
      <c r="S1" s="2" t="inlineStr">
        <is>
          <t>Jul</t>
        </is>
      </c>
      <c r="V1" s="2" t="inlineStr">
        <is>
          <t>Aug</t>
        </is>
      </c>
      <c r="Y1" s="2" t="inlineStr">
        <is>
          <t>Sep</t>
        </is>
      </c>
      <c r="AB1" s="2" t="inlineStr">
        <is>
          <t>Oct</t>
        </is>
      </c>
      <c r="AE1" s="2" t="inlineStr">
        <is>
          <t>Nov</t>
        </is>
      </c>
      <c r="AH1" s="2" t="inlineStr">
        <is>
          <t>Dec</t>
        </is>
      </c>
    </row>
    <row r="2">
      <c r="A2" t="n">
        <v>1</v>
      </c>
      <c r="D2" t="n">
        <v>1</v>
      </c>
      <c r="E2" s="3" t="n"/>
      <c r="G2" t="n">
        <v>1</v>
      </c>
      <c r="H2" s="3" t="n"/>
      <c r="J2" t="n">
        <v>1</v>
      </c>
      <c r="K2" s="3" t="n"/>
      <c r="M2" t="n">
        <v>1</v>
      </c>
      <c r="N2" s="3" t="n"/>
      <c r="P2" t="n">
        <v>1</v>
      </c>
      <c r="Q2" s="3" t="n"/>
      <c r="S2" t="n">
        <v>1</v>
      </c>
      <c r="T2" s="3" t="n"/>
      <c r="V2" t="n">
        <v>1</v>
      </c>
      <c r="W2" s="3" t="n"/>
      <c r="Y2" t="n">
        <v>1</v>
      </c>
      <c r="Z2" s="3" t="n"/>
      <c r="AB2" t="n">
        <v>1</v>
      </c>
      <c r="AC2" s="3" t="n"/>
      <c r="AE2" t="n">
        <v>1</v>
      </c>
      <c r="AF2" s="3" t="n"/>
      <c r="AH2" t="n">
        <v>1</v>
      </c>
      <c r="AI2" s="3" t="n"/>
    </row>
    <row r="3">
      <c r="A3" t="n">
        <v>2</v>
      </c>
      <c r="D3" t="n">
        <v>2</v>
      </c>
      <c r="E3" s="3" t="n"/>
      <c r="G3" t="n">
        <v>2</v>
      </c>
      <c r="H3" s="3" t="n"/>
      <c r="J3" t="n">
        <v>2</v>
      </c>
      <c r="K3" s="3" t="n"/>
      <c r="M3" t="n">
        <v>2</v>
      </c>
      <c r="N3" s="3" t="n"/>
      <c r="P3" t="n">
        <v>2</v>
      </c>
      <c r="Q3" s="3" t="n"/>
      <c r="S3" t="n">
        <v>2</v>
      </c>
      <c r="T3" s="3" t="n"/>
      <c r="V3" t="n">
        <v>2</v>
      </c>
      <c r="W3" s="3" t="n"/>
      <c r="Y3" t="n">
        <v>2</v>
      </c>
      <c r="Z3" s="3" t="n"/>
      <c r="AB3" t="n">
        <v>2</v>
      </c>
      <c r="AC3" s="3" t="n"/>
      <c r="AE3" t="n">
        <v>2</v>
      </c>
      <c r="AF3" s="3" t="n"/>
      <c r="AH3" t="n">
        <v>2</v>
      </c>
      <c r="AI3" s="3" t="n"/>
    </row>
    <row r="4">
      <c r="A4" t="n">
        <v>3</v>
      </c>
      <c r="D4" t="n">
        <v>3</v>
      </c>
      <c r="E4" s="3" t="n"/>
      <c r="G4" t="n">
        <v>3</v>
      </c>
      <c r="H4" s="3" t="n"/>
      <c r="J4" t="n">
        <v>3</v>
      </c>
      <c r="K4" s="3" t="n"/>
      <c r="M4" t="n">
        <v>3</v>
      </c>
      <c r="N4" s="3" t="n"/>
      <c r="P4" t="n">
        <v>3</v>
      </c>
      <c r="Q4" s="3" t="n"/>
      <c r="S4" t="n">
        <v>3</v>
      </c>
      <c r="T4" s="3" t="n"/>
      <c r="V4" t="n">
        <v>3</v>
      </c>
      <c r="W4" s="3" t="n"/>
      <c r="Y4" t="n">
        <v>3</v>
      </c>
      <c r="Z4" s="3" t="n"/>
      <c r="AB4" t="n">
        <v>3</v>
      </c>
      <c r="AC4" s="3" t="n"/>
      <c r="AE4" t="n">
        <v>3</v>
      </c>
      <c r="AF4" s="3" t="n"/>
      <c r="AH4" t="n">
        <v>3</v>
      </c>
      <c r="AI4" s="3" t="n"/>
    </row>
    <row r="5">
      <c r="A5" t="n">
        <v>4</v>
      </c>
      <c r="D5" t="n">
        <v>4</v>
      </c>
      <c r="E5" s="3" t="n"/>
      <c r="G5" t="n">
        <v>4</v>
      </c>
      <c r="H5" s="3" t="n"/>
      <c r="J5" t="n">
        <v>4</v>
      </c>
      <c r="K5" s="3" t="n"/>
      <c r="M5" t="n">
        <v>4</v>
      </c>
      <c r="N5" s="3" t="n"/>
      <c r="P5" t="n">
        <v>4</v>
      </c>
      <c r="Q5" s="3" t="n"/>
      <c r="S5" t="n">
        <v>4</v>
      </c>
      <c r="T5" s="3" t="n"/>
      <c r="V5" t="n">
        <v>4</v>
      </c>
      <c r="W5" s="3" t="n"/>
      <c r="Y5" t="n">
        <v>4</v>
      </c>
      <c r="Z5" s="3" t="n"/>
      <c r="AB5" t="n">
        <v>4</v>
      </c>
      <c r="AC5" s="3" t="n"/>
      <c r="AE5" t="n">
        <v>4</v>
      </c>
      <c r="AF5" s="3" t="n"/>
      <c r="AH5" t="n">
        <v>4</v>
      </c>
      <c r="AI5" s="3" t="n"/>
    </row>
    <row r="6">
      <c r="A6" t="n">
        <v>5</v>
      </c>
      <c r="D6" t="n">
        <v>5</v>
      </c>
      <c r="E6" s="3" t="n"/>
      <c r="G6" t="n">
        <v>5</v>
      </c>
      <c r="H6" s="3" t="n"/>
      <c r="J6" t="n">
        <v>5</v>
      </c>
      <c r="K6" s="3" t="n"/>
      <c r="M6" t="n">
        <v>5</v>
      </c>
      <c r="N6" s="3" t="n"/>
      <c r="P6" t="n">
        <v>5</v>
      </c>
      <c r="Q6" s="3" t="n"/>
      <c r="S6" t="n">
        <v>5</v>
      </c>
      <c r="T6" s="3" t="n"/>
      <c r="V6" t="n">
        <v>5</v>
      </c>
      <c r="W6" s="3" t="n"/>
      <c r="Y6" t="n">
        <v>5</v>
      </c>
      <c r="Z6" s="3" t="n"/>
      <c r="AB6" t="n">
        <v>5</v>
      </c>
      <c r="AC6" s="3" t="n"/>
      <c r="AE6" t="n">
        <v>5</v>
      </c>
      <c r="AF6" s="3" t="n"/>
      <c r="AH6" t="n">
        <v>5</v>
      </c>
      <c r="AI6" s="3" t="n"/>
    </row>
    <row r="7">
      <c r="A7" t="n">
        <v>6</v>
      </c>
      <c r="D7" t="n">
        <v>6</v>
      </c>
      <c r="E7" s="3" t="n"/>
      <c r="G7" t="n">
        <v>6</v>
      </c>
      <c r="H7" s="3" t="n"/>
      <c r="J7" t="n">
        <v>6</v>
      </c>
      <c r="K7" s="3" t="n"/>
      <c r="M7" t="n">
        <v>6</v>
      </c>
      <c r="N7" s="3" t="n"/>
      <c r="P7" t="n">
        <v>6</v>
      </c>
      <c r="Q7" s="3" t="n"/>
      <c r="S7" t="n">
        <v>6</v>
      </c>
      <c r="T7" s="3" t="n"/>
      <c r="V7" t="n">
        <v>6</v>
      </c>
      <c r="W7" s="3" t="n"/>
      <c r="Y7" t="n">
        <v>6</v>
      </c>
      <c r="Z7" s="3" t="n"/>
      <c r="AB7" t="n">
        <v>6</v>
      </c>
      <c r="AC7" s="3" t="n"/>
      <c r="AE7" t="n">
        <v>6</v>
      </c>
      <c r="AF7" s="3" t="n"/>
      <c r="AH7" t="n">
        <v>6</v>
      </c>
      <c r="AI7" s="3" t="n"/>
    </row>
    <row r="8">
      <c r="A8" t="n">
        <v>7</v>
      </c>
      <c r="D8" t="n">
        <v>7</v>
      </c>
      <c r="E8" s="3" t="n"/>
      <c r="G8" t="n">
        <v>7</v>
      </c>
      <c r="H8" s="3" t="n"/>
      <c r="J8" t="n">
        <v>7</v>
      </c>
      <c r="K8" s="3" t="n"/>
      <c r="M8" t="n">
        <v>7</v>
      </c>
      <c r="N8" s="3" t="n"/>
      <c r="P8" t="n">
        <v>7</v>
      </c>
      <c r="Q8" s="3" t="n"/>
      <c r="S8" t="n">
        <v>7</v>
      </c>
      <c r="T8" s="3" t="n"/>
      <c r="V8" t="n">
        <v>7</v>
      </c>
      <c r="W8" s="3" t="n"/>
      <c r="Y8" t="n">
        <v>7</v>
      </c>
      <c r="Z8" s="3" t="n"/>
      <c r="AB8" t="n">
        <v>7</v>
      </c>
      <c r="AC8" s="3" t="n"/>
      <c r="AE8" t="n">
        <v>7</v>
      </c>
      <c r="AF8" s="3" t="n"/>
      <c r="AH8" t="n">
        <v>7</v>
      </c>
      <c r="AI8" s="3" t="n"/>
    </row>
    <row r="9">
      <c r="A9" t="n">
        <v>8</v>
      </c>
      <c r="D9" t="n">
        <v>8</v>
      </c>
      <c r="E9" s="3" t="n"/>
      <c r="G9" t="n">
        <v>8</v>
      </c>
      <c r="H9" s="3" t="n"/>
      <c r="J9" t="n">
        <v>8</v>
      </c>
      <c r="K9" s="3" t="n"/>
      <c r="M9" t="n">
        <v>8</v>
      </c>
      <c r="N9" s="3" t="n"/>
      <c r="P9" t="n">
        <v>8</v>
      </c>
      <c r="Q9" s="3" t="n"/>
      <c r="S9" t="n">
        <v>8</v>
      </c>
      <c r="T9" s="3" t="n"/>
      <c r="V9" t="n">
        <v>8</v>
      </c>
      <c r="W9" s="3" t="n"/>
      <c r="Y9" t="n">
        <v>8</v>
      </c>
      <c r="Z9" s="3" t="n"/>
      <c r="AB9" t="n">
        <v>8</v>
      </c>
      <c r="AC9" s="3" t="n"/>
      <c r="AE9" t="n">
        <v>8</v>
      </c>
      <c r="AF9" s="3" t="n"/>
      <c r="AH9" t="n">
        <v>8</v>
      </c>
      <c r="AI9" s="3" t="n"/>
    </row>
    <row r="10">
      <c r="A10" t="n">
        <v>9</v>
      </c>
      <c r="D10" t="n">
        <v>9</v>
      </c>
      <c r="E10" s="3" t="n"/>
      <c r="G10" t="n">
        <v>9</v>
      </c>
      <c r="H10" s="3" t="n"/>
      <c r="J10" t="n">
        <v>9</v>
      </c>
      <c r="K10" s="3" t="n"/>
      <c r="M10" t="n">
        <v>9</v>
      </c>
      <c r="N10" s="3" t="n"/>
      <c r="P10" t="n">
        <v>9</v>
      </c>
      <c r="Q10" s="3" t="n"/>
      <c r="S10" t="n">
        <v>9</v>
      </c>
      <c r="T10" s="3" t="n"/>
      <c r="V10" t="n">
        <v>9</v>
      </c>
      <c r="W10" s="3" t="n"/>
      <c r="Y10" t="n">
        <v>9</v>
      </c>
      <c r="Z10" s="3" t="n"/>
      <c r="AB10" t="n">
        <v>9</v>
      </c>
      <c r="AC10" s="3" t="n"/>
      <c r="AE10" t="n">
        <v>9</v>
      </c>
      <c r="AF10" s="3" t="n"/>
      <c r="AH10" t="n">
        <v>9</v>
      </c>
      <c r="AI10" s="3" t="n"/>
    </row>
    <row r="11">
      <c r="A11" t="n">
        <v>10</v>
      </c>
      <c r="D11" t="n">
        <v>10</v>
      </c>
      <c r="E11" s="3" t="n"/>
      <c r="G11" t="n">
        <v>10</v>
      </c>
      <c r="H11" s="3" t="n"/>
      <c r="J11" t="n">
        <v>10</v>
      </c>
      <c r="K11" s="3" t="n"/>
      <c r="M11" t="n">
        <v>10</v>
      </c>
      <c r="N11" s="3" t="n"/>
      <c r="P11" t="n">
        <v>10</v>
      </c>
      <c r="Q11" s="3" t="n"/>
      <c r="S11" t="n">
        <v>10</v>
      </c>
      <c r="T11" s="3" t="n"/>
      <c r="V11" t="n">
        <v>10</v>
      </c>
      <c r="W11" s="3" t="n"/>
      <c r="Y11" t="n">
        <v>10</v>
      </c>
      <c r="Z11" s="3" t="n"/>
      <c r="AB11" t="n">
        <v>10</v>
      </c>
      <c r="AC11" s="3" t="n"/>
      <c r="AE11" t="n">
        <v>10</v>
      </c>
      <c r="AF11" s="3" t="n"/>
      <c r="AH11" t="n">
        <v>10</v>
      </c>
      <c r="AI11" s="3" t="n"/>
    </row>
    <row r="12">
      <c r="A12" t="n">
        <v>11</v>
      </c>
      <c r="D12" t="n">
        <v>11</v>
      </c>
      <c r="E12" s="3" t="n"/>
      <c r="G12" t="n">
        <v>11</v>
      </c>
      <c r="H12" s="3" t="n"/>
      <c r="J12" t="n">
        <v>11</v>
      </c>
      <c r="K12" s="3" t="n"/>
      <c r="M12" t="n">
        <v>11</v>
      </c>
      <c r="N12" s="3" t="n"/>
      <c r="P12" t="n">
        <v>11</v>
      </c>
      <c r="Q12" s="3" t="n"/>
      <c r="S12" t="n">
        <v>11</v>
      </c>
      <c r="T12" s="3" t="n"/>
      <c r="V12" t="n">
        <v>11</v>
      </c>
      <c r="W12" s="3" t="n"/>
      <c r="Y12" t="n">
        <v>11</v>
      </c>
      <c r="Z12" s="3" t="n"/>
      <c r="AB12" t="n">
        <v>11</v>
      </c>
      <c r="AC12" s="3" t="n"/>
      <c r="AE12" t="n">
        <v>11</v>
      </c>
      <c r="AF12" s="3" t="n"/>
      <c r="AH12" t="n">
        <v>11</v>
      </c>
      <c r="AI12" s="3" t="n"/>
    </row>
    <row r="13">
      <c r="A13" t="n">
        <v>12</v>
      </c>
      <c r="D13" t="n">
        <v>12</v>
      </c>
      <c r="E13" s="3" t="n">
        <v>-385</v>
      </c>
      <c r="G13" t="n">
        <v>12</v>
      </c>
      <c r="H13" s="3" t="n"/>
      <c r="J13" t="n">
        <v>12</v>
      </c>
      <c r="K13" s="3" t="n"/>
      <c r="M13" t="n">
        <v>12</v>
      </c>
      <c r="N13" s="3" t="n"/>
      <c r="P13" t="n">
        <v>12</v>
      </c>
      <c r="Q13" s="3" t="n"/>
      <c r="S13" t="n">
        <v>12</v>
      </c>
      <c r="T13" s="3" t="n"/>
      <c r="V13" t="n">
        <v>12</v>
      </c>
      <c r="W13" s="3" t="n"/>
      <c r="Y13" t="n">
        <v>12</v>
      </c>
      <c r="Z13" s="3" t="n"/>
      <c r="AB13" t="n">
        <v>12</v>
      </c>
      <c r="AC13" s="3" t="n"/>
      <c r="AE13" t="n">
        <v>12</v>
      </c>
      <c r="AF13" s="3" t="n"/>
      <c r="AH13" t="n">
        <v>12</v>
      </c>
      <c r="AI13" s="3" t="n"/>
    </row>
    <row r="14">
      <c r="A14" t="n">
        <v>13</v>
      </c>
      <c r="D14" t="n">
        <v>13</v>
      </c>
      <c r="E14" s="3" t="n"/>
      <c r="G14" t="n">
        <v>13</v>
      </c>
      <c r="H14" s="3" t="n"/>
      <c r="J14" t="n">
        <v>13</v>
      </c>
      <c r="K14" s="3" t="n"/>
      <c r="M14" t="n">
        <v>13</v>
      </c>
      <c r="N14" s="3" t="n"/>
      <c r="P14" t="n">
        <v>13</v>
      </c>
      <c r="Q14" s="3" t="n"/>
      <c r="S14" t="n">
        <v>13</v>
      </c>
      <c r="T14" s="3" t="n"/>
      <c r="V14" t="n">
        <v>13</v>
      </c>
      <c r="W14" s="3" t="n"/>
      <c r="Y14" t="n">
        <v>13</v>
      </c>
      <c r="Z14" s="3" t="n"/>
      <c r="AB14" t="n">
        <v>13</v>
      </c>
      <c r="AC14" s="3" t="n"/>
      <c r="AE14" t="n">
        <v>13</v>
      </c>
      <c r="AF14" s="3" t="n"/>
      <c r="AH14" t="n">
        <v>13</v>
      </c>
      <c r="AI14" s="3" t="n"/>
    </row>
    <row r="15">
      <c r="A15" t="n">
        <v>14</v>
      </c>
      <c r="D15" t="n">
        <v>14</v>
      </c>
      <c r="E15" s="3" t="n"/>
      <c r="G15" t="n">
        <v>14</v>
      </c>
      <c r="H15" s="3" t="n"/>
      <c r="J15" t="n">
        <v>14</v>
      </c>
      <c r="K15" s="3" t="n"/>
      <c r="M15" t="n">
        <v>14</v>
      </c>
      <c r="N15" s="3" t="n"/>
      <c r="P15" t="n">
        <v>14</v>
      </c>
      <c r="Q15" s="3" t="n"/>
      <c r="S15" t="n">
        <v>14</v>
      </c>
      <c r="T15" s="3" t="n"/>
      <c r="V15" t="n">
        <v>14</v>
      </c>
      <c r="W15" s="3" t="n"/>
      <c r="Y15" t="n">
        <v>14</v>
      </c>
      <c r="Z15" s="3" t="n"/>
      <c r="AB15" t="n">
        <v>14</v>
      </c>
      <c r="AC15" s="3" t="n"/>
      <c r="AE15" t="n">
        <v>14</v>
      </c>
      <c r="AF15" s="3" t="n"/>
      <c r="AH15" t="n">
        <v>14</v>
      </c>
      <c r="AI15" s="3" t="n"/>
    </row>
    <row r="16">
      <c r="A16" t="n">
        <v>15</v>
      </c>
      <c r="D16" t="n">
        <v>15</v>
      </c>
      <c r="E16" s="3" t="n"/>
      <c r="G16" t="n">
        <v>15</v>
      </c>
      <c r="H16" s="3" t="n"/>
      <c r="J16" t="n">
        <v>15</v>
      </c>
      <c r="K16" s="3" t="n"/>
      <c r="M16" t="n">
        <v>15</v>
      </c>
      <c r="N16" s="3" t="n"/>
      <c r="P16" t="n">
        <v>15</v>
      </c>
      <c r="Q16" s="3" t="n"/>
      <c r="S16" t="n">
        <v>15</v>
      </c>
      <c r="T16" s="3" t="n"/>
      <c r="V16" t="n">
        <v>15</v>
      </c>
      <c r="W16" s="3" t="n"/>
      <c r="Y16" t="n">
        <v>15</v>
      </c>
      <c r="Z16" s="3" t="n"/>
      <c r="AB16" t="n">
        <v>15</v>
      </c>
      <c r="AC16" s="3" t="n"/>
      <c r="AE16" t="n">
        <v>15</v>
      </c>
      <c r="AF16" s="3" t="n"/>
      <c r="AH16" t="n">
        <v>15</v>
      </c>
      <c r="AI16" s="3" t="n"/>
    </row>
    <row r="17">
      <c r="A17" t="n">
        <v>16</v>
      </c>
      <c r="D17" t="n">
        <v>16</v>
      </c>
      <c r="E17" s="3" t="n"/>
      <c r="G17" t="n">
        <v>16</v>
      </c>
      <c r="H17" s="3" t="n"/>
      <c r="J17" t="n">
        <v>16</v>
      </c>
      <c r="K17" s="3" t="n"/>
      <c r="M17" t="n">
        <v>16</v>
      </c>
      <c r="N17" s="3" t="n"/>
      <c r="P17" t="n">
        <v>16</v>
      </c>
      <c r="Q17" s="3" t="n"/>
      <c r="S17" t="n">
        <v>16</v>
      </c>
      <c r="T17" s="3" t="n"/>
      <c r="V17" t="n">
        <v>16</v>
      </c>
      <c r="W17" s="3" t="n"/>
      <c r="Y17" t="n">
        <v>16</v>
      </c>
      <c r="Z17" s="3" t="n"/>
      <c r="AB17" t="n">
        <v>16</v>
      </c>
      <c r="AC17" s="3" t="n"/>
      <c r="AE17" t="n">
        <v>16</v>
      </c>
      <c r="AF17" s="3" t="n"/>
      <c r="AH17" t="n">
        <v>16</v>
      </c>
      <c r="AI17" s="3" t="n"/>
    </row>
    <row r="18">
      <c r="A18" t="n">
        <v>17</v>
      </c>
      <c r="D18" t="n">
        <v>17</v>
      </c>
      <c r="E18" s="3" t="n"/>
      <c r="G18" t="n">
        <v>17</v>
      </c>
      <c r="H18" s="3" t="n"/>
      <c r="J18" t="n">
        <v>17</v>
      </c>
      <c r="K18" s="3" t="n"/>
      <c r="M18" t="n">
        <v>17</v>
      </c>
      <c r="N18" s="3" t="n"/>
      <c r="P18" t="n">
        <v>17</v>
      </c>
      <c r="Q18" s="3" t="n"/>
      <c r="S18" t="n">
        <v>17</v>
      </c>
      <c r="T18" s="3" t="n"/>
      <c r="V18" t="n">
        <v>17</v>
      </c>
      <c r="W18" s="3" t="n"/>
      <c r="Y18" t="n">
        <v>17</v>
      </c>
      <c r="Z18" s="3" t="n"/>
      <c r="AB18" t="n">
        <v>17</v>
      </c>
      <c r="AC18" s="3" t="n"/>
      <c r="AE18" t="n">
        <v>17</v>
      </c>
      <c r="AF18" s="3" t="n"/>
      <c r="AH18" t="n">
        <v>17</v>
      </c>
      <c r="AI18" s="3" t="n"/>
    </row>
    <row r="19">
      <c r="A19" t="n">
        <v>18</v>
      </c>
      <c r="D19" t="n">
        <v>18</v>
      </c>
      <c r="E19" s="3" t="n"/>
      <c r="G19" t="n">
        <v>18</v>
      </c>
      <c r="H19" s="3" t="n"/>
      <c r="J19" t="n">
        <v>18</v>
      </c>
      <c r="K19" s="3" t="n"/>
      <c r="M19" t="n">
        <v>18</v>
      </c>
      <c r="N19" s="3" t="n"/>
      <c r="P19" t="n">
        <v>18</v>
      </c>
      <c r="Q19" s="3" t="n"/>
      <c r="S19" t="n">
        <v>18</v>
      </c>
      <c r="T19" s="3" t="n"/>
      <c r="V19" t="n">
        <v>18</v>
      </c>
      <c r="W19" s="3" t="n"/>
      <c r="Y19" t="n">
        <v>18</v>
      </c>
      <c r="Z19" s="3" t="n"/>
      <c r="AB19" t="n">
        <v>18</v>
      </c>
      <c r="AC19" s="3" t="n"/>
      <c r="AE19" t="n">
        <v>18</v>
      </c>
      <c r="AF19" s="3" t="n"/>
      <c r="AH19" t="n">
        <v>18</v>
      </c>
      <c r="AI19" s="3" t="n"/>
    </row>
    <row r="20">
      <c r="A20" t="n">
        <v>19</v>
      </c>
      <c r="D20" t="n">
        <v>19</v>
      </c>
      <c r="E20" s="3" t="n"/>
      <c r="G20" t="n">
        <v>19</v>
      </c>
      <c r="H20" s="3" t="n"/>
      <c r="J20" t="n">
        <v>19</v>
      </c>
      <c r="K20" s="3" t="n"/>
      <c r="M20" t="n">
        <v>19</v>
      </c>
      <c r="N20" s="3" t="n"/>
      <c r="P20" t="n">
        <v>19</v>
      </c>
      <c r="Q20" s="3" t="n"/>
      <c r="S20" t="n">
        <v>19</v>
      </c>
      <c r="T20" s="3" t="n"/>
      <c r="V20" t="n">
        <v>19</v>
      </c>
      <c r="W20" s="3" t="n"/>
      <c r="Y20" t="n">
        <v>19</v>
      </c>
      <c r="Z20" s="3" t="n"/>
      <c r="AB20" t="n">
        <v>19</v>
      </c>
      <c r="AC20" s="3" t="n"/>
      <c r="AE20" t="n">
        <v>19</v>
      </c>
      <c r="AF20" s="3" t="n"/>
      <c r="AH20" t="n">
        <v>19</v>
      </c>
      <c r="AI20" s="3" t="n"/>
    </row>
    <row r="21">
      <c r="A21" t="n">
        <v>20</v>
      </c>
      <c r="D21" t="n">
        <v>20</v>
      </c>
      <c r="E21" s="3" t="n"/>
      <c r="G21" t="n">
        <v>20</v>
      </c>
      <c r="H21" s="3" t="n"/>
      <c r="J21" t="n">
        <v>20</v>
      </c>
      <c r="K21" s="3" t="n"/>
      <c r="M21" t="n">
        <v>20</v>
      </c>
      <c r="N21" s="3" t="n"/>
      <c r="P21" t="n">
        <v>20</v>
      </c>
      <c r="Q21" s="3" t="n"/>
      <c r="S21" t="n">
        <v>20</v>
      </c>
      <c r="T21" s="3" t="n"/>
      <c r="V21" t="n">
        <v>20</v>
      </c>
      <c r="W21" s="3" t="n"/>
      <c r="Y21" t="n">
        <v>20</v>
      </c>
      <c r="Z21" s="3" t="n"/>
      <c r="AB21" t="n">
        <v>20</v>
      </c>
      <c r="AC21" s="3" t="n"/>
      <c r="AE21" t="n">
        <v>20</v>
      </c>
      <c r="AF21" s="3" t="n"/>
      <c r="AH21" t="n">
        <v>20</v>
      </c>
      <c r="AI21" s="3" t="n"/>
    </row>
    <row r="22">
      <c r="A22" t="n">
        <v>21</v>
      </c>
      <c r="D22" t="n">
        <v>21</v>
      </c>
      <c r="E22" s="3" t="n"/>
      <c r="G22" t="n">
        <v>21</v>
      </c>
      <c r="H22" s="3" t="n"/>
      <c r="J22" t="n">
        <v>21</v>
      </c>
      <c r="K22" s="3" t="n"/>
      <c r="M22" t="n">
        <v>21</v>
      </c>
      <c r="N22" s="3" t="n"/>
      <c r="P22" t="n">
        <v>21</v>
      </c>
      <c r="Q22" s="3" t="n"/>
      <c r="S22" t="n">
        <v>21</v>
      </c>
      <c r="T22" s="3" t="n"/>
      <c r="V22" t="n">
        <v>21</v>
      </c>
      <c r="W22" s="3" t="n"/>
      <c r="Y22" t="n">
        <v>21</v>
      </c>
      <c r="Z22" s="3" t="n"/>
      <c r="AB22" t="n">
        <v>21</v>
      </c>
      <c r="AC22" s="3" t="n"/>
      <c r="AE22" t="n">
        <v>21</v>
      </c>
      <c r="AF22" s="3" t="n"/>
      <c r="AH22" t="n">
        <v>21</v>
      </c>
      <c r="AI22" s="3" t="n"/>
    </row>
    <row r="23">
      <c r="A23" t="n">
        <v>22</v>
      </c>
      <c r="B23" s="3" t="n">
        <v>-720</v>
      </c>
      <c r="D23" t="n">
        <v>22</v>
      </c>
      <c r="E23" s="3" t="n"/>
      <c r="G23" t="n">
        <v>22</v>
      </c>
      <c r="H23" s="3" t="n"/>
      <c r="J23" t="n">
        <v>22</v>
      </c>
      <c r="K23" s="3" t="n"/>
      <c r="M23" t="n">
        <v>22</v>
      </c>
      <c r="N23" s="3" t="n"/>
      <c r="P23" t="n">
        <v>22</v>
      </c>
      <c r="Q23" s="3" t="n"/>
      <c r="S23" t="n">
        <v>22</v>
      </c>
      <c r="T23" s="3" t="n"/>
      <c r="V23" t="n">
        <v>22</v>
      </c>
      <c r="W23" s="3" t="n"/>
      <c r="Y23" t="n">
        <v>22</v>
      </c>
      <c r="Z23" s="3" t="n"/>
      <c r="AB23" t="n">
        <v>22</v>
      </c>
      <c r="AC23" s="3" t="n"/>
      <c r="AE23" t="n">
        <v>22</v>
      </c>
      <c r="AF23" s="3" t="n"/>
      <c r="AH23" t="n">
        <v>22</v>
      </c>
      <c r="AI23" s="3" t="n"/>
    </row>
    <row r="24">
      <c r="A24" t="n">
        <v>23</v>
      </c>
      <c r="D24" t="n">
        <v>23</v>
      </c>
      <c r="E24" s="3" t="n"/>
      <c r="G24" t="n">
        <v>23</v>
      </c>
      <c r="H24" s="3" t="n"/>
      <c r="J24" t="n">
        <v>23</v>
      </c>
      <c r="K24" s="3" t="n"/>
      <c r="M24" t="n">
        <v>23</v>
      </c>
      <c r="N24" s="3" t="n"/>
      <c r="P24" t="n">
        <v>23</v>
      </c>
      <c r="Q24" s="3" t="n"/>
      <c r="S24" t="n">
        <v>23</v>
      </c>
      <c r="T24" s="3" t="n"/>
      <c r="V24" t="n">
        <v>23</v>
      </c>
      <c r="W24" s="3" t="n"/>
      <c r="Y24" t="n">
        <v>23</v>
      </c>
      <c r="Z24" s="3" t="n"/>
      <c r="AB24" t="n">
        <v>23</v>
      </c>
      <c r="AC24" s="3" t="n"/>
      <c r="AE24" t="n">
        <v>23</v>
      </c>
      <c r="AF24" s="3" t="n"/>
      <c r="AH24" t="n">
        <v>23</v>
      </c>
      <c r="AI24" s="3" t="n"/>
    </row>
    <row r="25">
      <c r="A25" t="n">
        <v>24</v>
      </c>
      <c r="D25" t="n">
        <v>24</v>
      </c>
      <c r="E25" s="3" t="n"/>
      <c r="G25" t="n">
        <v>24</v>
      </c>
      <c r="H25" s="3" t="n"/>
      <c r="J25" t="n">
        <v>24</v>
      </c>
      <c r="K25" s="3" t="n"/>
      <c r="M25" t="n">
        <v>24</v>
      </c>
      <c r="N25" s="3" t="n"/>
      <c r="P25" t="n">
        <v>24</v>
      </c>
      <c r="Q25" s="3" t="n"/>
      <c r="S25" t="n">
        <v>24</v>
      </c>
      <c r="T25" s="3" t="n"/>
      <c r="V25" t="n">
        <v>24</v>
      </c>
      <c r="W25" s="3" t="n"/>
      <c r="Y25" t="n">
        <v>24</v>
      </c>
      <c r="Z25" s="3" t="n"/>
      <c r="AB25" t="n">
        <v>24</v>
      </c>
      <c r="AC25" s="3" t="n"/>
      <c r="AE25" t="n">
        <v>24</v>
      </c>
      <c r="AF25" s="3" t="n"/>
      <c r="AH25" t="n">
        <v>24</v>
      </c>
      <c r="AI25" s="3" t="n"/>
    </row>
    <row r="26">
      <c r="A26" t="n">
        <v>25</v>
      </c>
      <c r="D26" t="n">
        <v>25</v>
      </c>
      <c r="E26" s="3" t="n"/>
      <c r="G26" t="n">
        <v>25</v>
      </c>
      <c r="H26" s="3" t="n"/>
      <c r="J26" t="n">
        <v>25</v>
      </c>
      <c r="K26" s="3" t="n"/>
      <c r="M26" t="n">
        <v>25</v>
      </c>
      <c r="N26" s="3" t="n"/>
      <c r="P26" t="n">
        <v>25</v>
      </c>
      <c r="Q26" s="3" t="n"/>
      <c r="S26" t="n">
        <v>25</v>
      </c>
      <c r="T26" s="3" t="n"/>
      <c r="V26" t="n">
        <v>25</v>
      </c>
      <c r="W26" s="3" t="n"/>
      <c r="Y26" t="n">
        <v>25</v>
      </c>
      <c r="Z26" s="3" t="n"/>
      <c r="AB26" t="n">
        <v>25</v>
      </c>
      <c r="AC26" s="3" t="n"/>
      <c r="AE26" t="n">
        <v>25</v>
      </c>
      <c r="AF26" s="3" t="n"/>
      <c r="AH26" t="n">
        <v>25</v>
      </c>
      <c r="AI26" s="3" t="n"/>
    </row>
    <row r="27">
      <c r="A27" t="n">
        <v>26</v>
      </c>
      <c r="D27" t="n">
        <v>26</v>
      </c>
      <c r="E27" s="3" t="n"/>
      <c r="G27" t="n">
        <v>26</v>
      </c>
      <c r="H27" s="3" t="n"/>
      <c r="J27" t="n">
        <v>26</v>
      </c>
      <c r="K27" s="3" t="n"/>
      <c r="M27" t="n">
        <v>26</v>
      </c>
      <c r="N27" s="3" t="n"/>
      <c r="P27" t="n">
        <v>26</v>
      </c>
      <c r="Q27" s="3" t="n"/>
      <c r="S27" t="n">
        <v>26</v>
      </c>
      <c r="T27" s="3" t="n"/>
      <c r="V27" t="n">
        <v>26</v>
      </c>
      <c r="W27" s="3" t="n"/>
      <c r="Y27" t="n">
        <v>26</v>
      </c>
      <c r="Z27" s="3" t="n"/>
      <c r="AB27" t="n">
        <v>26</v>
      </c>
      <c r="AC27" s="3" t="n"/>
      <c r="AE27" t="n">
        <v>26</v>
      </c>
      <c r="AF27" s="3" t="n"/>
      <c r="AH27" t="n">
        <v>26</v>
      </c>
      <c r="AI27" s="3" t="n"/>
    </row>
    <row r="28">
      <c r="A28" t="n">
        <v>27</v>
      </c>
      <c r="D28" t="n">
        <v>27</v>
      </c>
      <c r="E28" s="3" t="n"/>
      <c r="G28" t="n">
        <v>27</v>
      </c>
      <c r="H28" s="3" t="n"/>
      <c r="J28" t="n">
        <v>27</v>
      </c>
      <c r="K28" s="3" t="n"/>
      <c r="M28" t="n">
        <v>27</v>
      </c>
      <c r="N28" s="3" t="n"/>
      <c r="P28" t="n">
        <v>27</v>
      </c>
      <c r="Q28" s="3" t="n"/>
      <c r="S28" t="n">
        <v>27</v>
      </c>
      <c r="T28" s="3" t="n"/>
      <c r="V28" t="n">
        <v>27</v>
      </c>
      <c r="W28" s="3" t="n"/>
      <c r="Y28" t="n">
        <v>27</v>
      </c>
      <c r="Z28" s="3" t="n"/>
      <c r="AB28" t="n">
        <v>27</v>
      </c>
      <c r="AC28" s="3" t="n"/>
      <c r="AE28" t="n">
        <v>27</v>
      </c>
      <c r="AF28" s="3" t="n"/>
      <c r="AH28" t="n">
        <v>27</v>
      </c>
      <c r="AI28" s="3" t="n"/>
    </row>
    <row r="29">
      <c r="A29" t="n">
        <v>28</v>
      </c>
      <c r="D29" t="n">
        <v>28</v>
      </c>
      <c r="E29" s="3" t="n"/>
      <c r="G29" t="n">
        <v>28</v>
      </c>
      <c r="H29" s="3" t="n"/>
      <c r="J29" t="n">
        <v>28</v>
      </c>
      <c r="K29" s="3" t="n"/>
      <c r="M29" t="n">
        <v>28</v>
      </c>
      <c r="N29" s="3" t="n"/>
      <c r="P29" t="n">
        <v>28</v>
      </c>
      <c r="Q29" s="3" t="n"/>
      <c r="S29" t="n">
        <v>28</v>
      </c>
      <c r="T29" s="3" t="n"/>
      <c r="V29" t="n">
        <v>28</v>
      </c>
      <c r="W29" s="3" t="n"/>
      <c r="Y29" t="n">
        <v>28</v>
      </c>
      <c r="Z29" s="3" t="n"/>
      <c r="AB29" t="n">
        <v>28</v>
      </c>
      <c r="AC29" s="3" t="n"/>
      <c r="AE29" t="n">
        <v>28</v>
      </c>
      <c r="AF29" s="3" t="n"/>
      <c r="AH29" t="n">
        <v>28</v>
      </c>
      <c r="AI29" s="3" t="n"/>
    </row>
    <row r="30">
      <c r="A30" t="n">
        <v>29</v>
      </c>
      <c r="D30" t="n">
        <v>29</v>
      </c>
      <c r="E30" s="3" t="n"/>
      <c r="G30" t="n">
        <v>29</v>
      </c>
      <c r="H30" s="3" t="n"/>
      <c r="J30" t="n">
        <v>29</v>
      </c>
      <c r="K30" s="3" t="n"/>
      <c r="M30" t="n">
        <v>29</v>
      </c>
      <c r="N30" s="3" t="n"/>
      <c r="P30" t="n">
        <v>29</v>
      </c>
      <c r="Q30" s="3" t="n"/>
      <c r="S30" t="n">
        <v>29</v>
      </c>
      <c r="T30" s="3" t="n"/>
      <c r="V30" t="n">
        <v>29</v>
      </c>
      <c r="W30" s="3" t="n"/>
      <c r="Y30" t="n">
        <v>29</v>
      </c>
      <c r="Z30" s="3" t="n"/>
      <c r="AB30" t="n">
        <v>29</v>
      </c>
      <c r="AC30" s="3" t="n"/>
      <c r="AE30" t="n">
        <v>29</v>
      </c>
      <c r="AF30" s="3" t="n"/>
      <c r="AH30" t="n">
        <v>29</v>
      </c>
      <c r="AI30" s="3" t="n"/>
    </row>
    <row r="31">
      <c r="A31" t="n">
        <v>30</v>
      </c>
      <c r="D31" t="n">
        <v>30</v>
      </c>
      <c r="E31" s="3" t="n"/>
      <c r="G31" t="n">
        <v>30</v>
      </c>
      <c r="H31" s="3" t="n"/>
      <c r="J31" t="n">
        <v>30</v>
      </c>
      <c r="K31" s="3" t="n"/>
      <c r="M31" t="n">
        <v>30</v>
      </c>
      <c r="N31" s="3" t="n"/>
      <c r="P31" t="n">
        <v>30</v>
      </c>
      <c r="S31" t="n">
        <v>30</v>
      </c>
      <c r="V31" t="n">
        <v>30</v>
      </c>
      <c r="Y31" t="n">
        <v>30</v>
      </c>
      <c r="AB31" t="n">
        <v>30</v>
      </c>
      <c r="AC31" s="3" t="n"/>
      <c r="AE31" t="n">
        <v>30</v>
      </c>
      <c r="AF31" s="3" t="n"/>
      <c r="AH31" t="n">
        <v>30</v>
      </c>
      <c r="AI31" s="3" t="n"/>
    </row>
    <row r="32">
      <c r="A32" t="n">
        <v>31</v>
      </c>
      <c r="D32" t="n">
        <v>31</v>
      </c>
      <c r="E32" s="3" t="n"/>
      <c r="G32" t="n">
        <v>31</v>
      </c>
      <c r="H32" s="3" t="n"/>
      <c r="J32" t="n">
        <v>31</v>
      </c>
      <c r="K32" s="3" t="n"/>
      <c r="M32" t="n">
        <v>31</v>
      </c>
      <c r="N32" s="3" t="n"/>
      <c r="P32" t="n">
        <v>31</v>
      </c>
      <c r="S32" t="n">
        <v>31</v>
      </c>
      <c r="V32" t="n">
        <v>31</v>
      </c>
      <c r="Y32" t="n">
        <v>31</v>
      </c>
      <c r="AB32" t="n">
        <v>31</v>
      </c>
      <c r="AC32" s="3" t="n"/>
      <c r="AE32" t="n">
        <v>31</v>
      </c>
      <c r="AF32" s="3" t="n"/>
      <c r="AH32" t="n">
        <v>31</v>
      </c>
      <c r="AI32" s="3" t="n"/>
    </row>
    <row r="33">
      <c r="E33" s="3" t="n"/>
      <c r="H33" s="3" t="n"/>
    </row>
    <row r="34">
      <c r="E34" s="3" t="n"/>
      <c r="H34" s="3" t="n"/>
    </row>
    <row r="35">
      <c r="A35" t="inlineStr">
        <is>
          <t>Total</t>
        </is>
      </c>
      <c r="B35" s="3">
        <f>SUM(B2:B34)</f>
        <v/>
      </c>
      <c r="E35" s="3">
        <f>SUM(E2:E27)</f>
        <v/>
      </c>
      <c r="H35" s="3">
        <f>SUM(H2:H34)</f>
        <v/>
      </c>
      <c r="K35" s="3">
        <f>SUM(K2:K34)</f>
        <v/>
      </c>
      <c r="N35" s="3">
        <f>SUM(N2:N34)</f>
        <v/>
      </c>
      <c r="Q35" s="3">
        <f>SUM(Q2:Q34)</f>
        <v/>
      </c>
      <c r="T35" s="3">
        <f>SUM(T2:T34)</f>
        <v/>
      </c>
      <c r="W35" s="3">
        <f>SUM(W2:W34)</f>
        <v/>
      </c>
      <c r="Z35" s="3">
        <f>SUM(Z2:Z34)</f>
        <v/>
      </c>
      <c r="AC35" s="3">
        <f>SUM(AC2:AC34)</f>
        <v/>
      </c>
      <c r="AF35" s="3">
        <f>SUM(AF2:AF34)</f>
        <v/>
      </c>
      <c r="AI35" s="3">
        <f>SUM(AI2:AI34)</f>
        <v/>
      </c>
    </row>
  </sheetData>
  <mergeCells count="3">
    <mergeCell ref="D1:E1"/>
    <mergeCell ref="G1:H1"/>
    <mergeCell ref="A1:B1"/>
  </mergeCells>
  <conditionalFormatting sqref="B2:B32">
    <cfRule type="cellIs" priority="43" operator="lessThan" dxfId="1">
      <formula>0</formula>
    </cfRule>
    <cfRule type="cellIs" priority="44" operator="greaterThan" dxfId="0">
      <formula>0</formula>
    </cfRule>
  </conditionalFormatting>
  <conditionalFormatting sqref="B35">
    <cfRule type="cellIs" priority="42" operator="greaterThan" dxfId="0">
      <formula>0</formula>
    </cfRule>
    <cfRule type="cellIs" priority="41" operator="lessThan" dxfId="1">
      <formula>0</formula>
    </cfRule>
  </conditionalFormatting>
  <conditionalFormatting sqref="E2:E35">
    <cfRule type="cellIs" priority="39" operator="lessThan" dxfId="1">
      <formula>0</formula>
    </cfRule>
    <cfRule type="cellIs" priority="40" operator="greaterThan" dxfId="0">
      <formula>0</formula>
    </cfRule>
  </conditionalFormatting>
  <conditionalFormatting sqref="H2:H35">
    <cfRule type="cellIs" priority="34" operator="greaterThan" dxfId="0">
      <formula>0</formula>
    </cfRule>
    <cfRule type="cellIs" priority="33" operator="lessThan" dxfId="1">
      <formula>0</formula>
    </cfRule>
  </conditionalFormatting>
  <conditionalFormatting sqref="K2:K32">
    <cfRule type="cellIs" priority="38" operator="greaterThan" dxfId="0">
      <formula>0</formula>
    </cfRule>
    <cfRule type="cellIs" priority="37" operator="lessThan" dxfId="1">
      <formula>0</formula>
    </cfRule>
  </conditionalFormatting>
  <conditionalFormatting sqref="K35">
    <cfRule type="cellIs" priority="36" operator="greaterThan" dxfId="0">
      <formula>0</formula>
    </cfRule>
    <cfRule type="cellIs" priority="35" operator="lessThan" dxfId="1">
      <formula>0</formula>
    </cfRule>
  </conditionalFormatting>
  <conditionalFormatting sqref="N2:N32">
    <cfRule type="cellIs" priority="32" operator="greaterThan" dxfId="0">
      <formula>0</formula>
    </cfRule>
    <cfRule type="cellIs" priority="31" operator="lessThan" dxfId="1">
      <formula>0</formula>
    </cfRule>
  </conditionalFormatting>
  <conditionalFormatting sqref="N35">
    <cfRule type="cellIs" priority="30" operator="greaterThan" dxfId="0">
      <formula>0</formula>
    </cfRule>
    <cfRule type="cellIs" priority="29" operator="lessThan" dxfId="1">
      <formula>0</formula>
    </cfRule>
  </conditionalFormatting>
  <conditionalFormatting sqref="Q2:Q30">
    <cfRule type="cellIs" priority="28" operator="greaterThan" dxfId="0">
      <formula>0</formula>
    </cfRule>
    <cfRule type="cellIs" priority="27" operator="lessThan" dxfId="1">
      <formula>0</formula>
    </cfRule>
  </conditionalFormatting>
  <conditionalFormatting sqref="Q35">
    <cfRule type="cellIs" priority="26" operator="greaterThan" dxfId="0">
      <formula>0</formula>
    </cfRule>
    <cfRule type="cellIs" priority="25" operator="lessThan" dxfId="1">
      <formula>0</formula>
    </cfRule>
  </conditionalFormatting>
  <conditionalFormatting sqref="T2:T30">
    <cfRule type="cellIs" priority="23" operator="lessThan" dxfId="1">
      <formula>0</formula>
    </cfRule>
    <cfRule type="cellIs" priority="24" operator="greaterThan" dxfId="0">
      <formula>0</formula>
    </cfRule>
  </conditionalFormatting>
  <conditionalFormatting sqref="T35">
    <cfRule type="cellIs" priority="22" operator="greaterThan" dxfId="0">
      <formula>0</formula>
    </cfRule>
    <cfRule type="cellIs" priority="21" operator="lessThan" dxfId="1">
      <formula>0</formula>
    </cfRule>
  </conditionalFormatting>
  <conditionalFormatting sqref="W2:W30">
    <cfRule type="cellIs" priority="20" operator="greaterThan" dxfId="0">
      <formula>0</formula>
    </cfRule>
    <cfRule type="cellIs" priority="19" operator="lessThan" dxfId="1">
      <formula>0</formula>
    </cfRule>
  </conditionalFormatting>
  <conditionalFormatting sqref="W35">
    <cfRule type="cellIs" priority="18" operator="greaterThan" dxfId="0">
      <formula>0</formula>
    </cfRule>
    <cfRule type="cellIs" priority="17" operator="lessThan" dxfId="1">
      <formula>0</formula>
    </cfRule>
  </conditionalFormatting>
  <conditionalFormatting sqref="Z2:Z30">
    <cfRule type="cellIs" priority="16" operator="greaterThan" dxfId="0">
      <formula>0</formula>
    </cfRule>
    <cfRule type="cellIs" priority="15" operator="lessThan" dxfId="1">
      <formula>0</formula>
    </cfRule>
  </conditionalFormatting>
  <conditionalFormatting sqref="Z35">
    <cfRule type="cellIs" priority="14" operator="greaterThan" dxfId="0">
      <formula>0</formula>
    </cfRule>
    <cfRule type="cellIs" priority="13" operator="lessThan" dxfId="1">
      <formula>0</formula>
    </cfRule>
  </conditionalFormatting>
  <conditionalFormatting sqref="AC2:AC32">
    <cfRule type="cellIs" priority="11" operator="lessThan" dxfId="1">
      <formula>0</formula>
    </cfRule>
    <cfRule type="cellIs" priority="12" operator="greaterThan" dxfId="0">
      <formula>0</formula>
    </cfRule>
  </conditionalFormatting>
  <conditionalFormatting sqref="AC35">
    <cfRule type="cellIs" priority="10" operator="greaterThan" dxfId="0">
      <formula>0</formula>
    </cfRule>
    <cfRule type="cellIs" priority="9" operator="lessThan" dxfId="1">
      <formula>0</formula>
    </cfRule>
  </conditionalFormatting>
  <conditionalFormatting sqref="AF2:AF32">
    <cfRule type="cellIs" priority="8" operator="greaterThan" dxfId="0">
      <formula>0</formula>
    </cfRule>
    <cfRule type="cellIs" priority="7" operator="lessThan" dxfId="1">
      <formula>0</formula>
    </cfRule>
  </conditionalFormatting>
  <conditionalFormatting sqref="AF35">
    <cfRule type="cellIs" priority="6" operator="greaterThan" dxfId="0">
      <formula>0</formula>
    </cfRule>
    <cfRule type="cellIs" priority="5" operator="lessThan" dxfId="1">
      <formula>0</formula>
    </cfRule>
  </conditionalFormatting>
  <conditionalFormatting sqref="AI2:AI32">
    <cfRule type="cellIs" priority="4" operator="greaterThan" dxfId="0">
      <formula>0</formula>
    </cfRule>
    <cfRule type="cellIs" priority="3" operator="lessThan" dxfId="1">
      <formula>0</formula>
    </cfRule>
  </conditionalFormatting>
  <conditionalFormatting sqref="AI35">
    <cfRule type="cellIs" priority="2" operator="greaterThan" dxfId="0">
      <formula>0</formula>
    </cfRule>
    <cfRule type="cellIs" priority="1" operator="lessThan" dxfId="1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selection activeCell="K7" sqref="K7"/>
    </sheetView>
  </sheetViews>
  <sheetFormatPr baseColWidth="8" defaultRowHeight="15"/>
  <cols>
    <col width="18.42578125" customWidth="1" min="1" max="1"/>
    <col width="15.42578125" customWidth="1" style="3" min="2" max="2"/>
    <col width="11.5703125" customWidth="1" min="4" max="4"/>
    <col width="12.5703125" customWidth="1" min="5" max="5"/>
    <col width="11.5703125" customWidth="1" min="7" max="7"/>
    <col width="12.5703125" customWidth="1" min="8" max="8"/>
    <col width="11.5703125" customWidth="1" min="10" max="10"/>
    <col width="10.140625" bestFit="1" customWidth="1" min="11" max="11"/>
    <col width="10.42578125" bestFit="1" customWidth="1" min="13" max="13"/>
    <col width="10.85546875" bestFit="1" customWidth="1" min="14" max="14"/>
    <col width="10.85546875" bestFit="1" customWidth="1" min="17" max="17"/>
    <col width="10.85546875" bestFit="1" customWidth="1" min="20" max="20"/>
    <col width="10.85546875" bestFit="1" customWidth="1" min="23" max="23"/>
    <col width="10.85546875" bestFit="1" customWidth="1" min="26" max="26"/>
    <col width="10.85546875" bestFit="1" customWidth="1" min="29" max="29"/>
    <col width="10.85546875" bestFit="1" customWidth="1" min="32" max="32"/>
    <col width="10.140625" bestFit="1" customWidth="1" min="35" max="35"/>
  </cols>
  <sheetData>
    <row r="1" customFormat="1" s="2">
      <c r="A1" s="9" t="inlineStr">
        <is>
          <t>January</t>
        </is>
      </c>
      <c r="D1" s="9" t="inlineStr">
        <is>
          <t>February</t>
        </is>
      </c>
      <c r="G1" s="9" t="inlineStr">
        <is>
          <t>March</t>
        </is>
      </c>
      <c r="J1" s="2" t="inlineStr">
        <is>
          <t>April</t>
        </is>
      </c>
      <c r="M1" s="2" t="inlineStr">
        <is>
          <t>May</t>
        </is>
      </c>
      <c r="P1" s="2" t="inlineStr">
        <is>
          <t>Jun</t>
        </is>
      </c>
      <c r="S1" s="2" t="inlineStr">
        <is>
          <t>Jul</t>
        </is>
      </c>
      <c r="V1" s="2" t="inlineStr">
        <is>
          <t>Aug</t>
        </is>
      </c>
      <c r="Y1" s="2" t="inlineStr">
        <is>
          <t>Sep</t>
        </is>
      </c>
      <c r="AB1" s="2" t="inlineStr">
        <is>
          <t>Oct</t>
        </is>
      </c>
      <c r="AE1" s="2" t="inlineStr">
        <is>
          <t>Nov</t>
        </is>
      </c>
      <c r="AH1" s="2" t="inlineStr">
        <is>
          <t>Dec</t>
        </is>
      </c>
    </row>
    <row r="2">
      <c r="A2" t="n">
        <v>1</v>
      </c>
      <c r="D2" t="n">
        <v>1</v>
      </c>
      <c r="E2" s="3" t="n"/>
      <c r="G2" t="n">
        <v>1</v>
      </c>
      <c r="H2" s="3" t="n"/>
      <c r="J2" t="n">
        <v>1</v>
      </c>
      <c r="K2" s="3" t="n"/>
      <c r="M2" t="n">
        <v>1</v>
      </c>
      <c r="N2" s="3" t="n"/>
      <c r="P2" t="n">
        <v>1</v>
      </c>
      <c r="Q2" s="3" t="n"/>
      <c r="S2" t="n">
        <v>1</v>
      </c>
      <c r="T2" s="3" t="n"/>
      <c r="V2" t="n">
        <v>1</v>
      </c>
      <c r="W2" s="3" t="n"/>
      <c r="Y2" t="n">
        <v>1</v>
      </c>
      <c r="Z2" s="3" t="n"/>
      <c r="AB2" t="n">
        <v>1</v>
      </c>
      <c r="AC2" s="3" t="n"/>
      <c r="AE2" t="n">
        <v>1</v>
      </c>
      <c r="AF2" s="3" t="n"/>
      <c r="AH2" t="n">
        <v>1</v>
      </c>
      <c r="AI2" s="3" t="n"/>
    </row>
    <row r="3">
      <c r="A3" t="n">
        <v>2</v>
      </c>
      <c r="D3" t="n">
        <v>2</v>
      </c>
      <c r="E3" s="3" t="n"/>
      <c r="G3" t="n">
        <v>2</v>
      </c>
      <c r="H3" s="3" t="n"/>
      <c r="J3" t="n">
        <v>2</v>
      </c>
      <c r="K3" s="3" t="n"/>
      <c r="M3" t="n">
        <v>2</v>
      </c>
      <c r="N3" s="3" t="n"/>
      <c r="P3" t="n">
        <v>2</v>
      </c>
      <c r="Q3" s="3" t="n"/>
      <c r="S3" t="n">
        <v>2</v>
      </c>
      <c r="T3" s="3" t="n"/>
      <c r="V3" t="n">
        <v>2</v>
      </c>
      <c r="W3" s="3" t="n"/>
      <c r="Y3" t="n">
        <v>2</v>
      </c>
      <c r="Z3" s="3" t="n"/>
      <c r="AB3" t="n">
        <v>2</v>
      </c>
      <c r="AC3" s="3" t="n"/>
      <c r="AE3" t="n">
        <v>2</v>
      </c>
      <c r="AF3" s="3" t="n"/>
      <c r="AH3" t="n">
        <v>2</v>
      </c>
      <c r="AI3" s="3" t="n"/>
    </row>
    <row r="4">
      <c r="A4" t="n">
        <v>3</v>
      </c>
      <c r="D4" t="n">
        <v>3</v>
      </c>
      <c r="E4" s="3" t="n">
        <v>1280</v>
      </c>
      <c r="G4" t="n">
        <v>3</v>
      </c>
      <c r="H4" s="3" t="n"/>
      <c r="J4" t="n">
        <v>3</v>
      </c>
      <c r="K4" s="3" t="n"/>
      <c r="M4" t="n">
        <v>3</v>
      </c>
      <c r="N4" s="3" t="n"/>
      <c r="P4" t="n">
        <v>3</v>
      </c>
      <c r="Q4" s="3" t="n"/>
      <c r="S4" t="n">
        <v>3</v>
      </c>
      <c r="T4" s="3" t="n"/>
      <c r="V4" t="n">
        <v>3</v>
      </c>
      <c r="W4" s="3" t="n"/>
      <c r="Y4" t="n">
        <v>3</v>
      </c>
      <c r="Z4" s="3" t="n"/>
      <c r="AB4" t="n">
        <v>3</v>
      </c>
      <c r="AC4" s="3" t="n"/>
      <c r="AE4" t="n">
        <v>3</v>
      </c>
      <c r="AF4" s="3" t="n"/>
      <c r="AH4" t="n">
        <v>3</v>
      </c>
      <c r="AI4" s="3" t="n"/>
    </row>
    <row r="5">
      <c r="A5" t="n">
        <v>4</v>
      </c>
      <c r="D5" t="n">
        <v>4</v>
      </c>
      <c r="E5" s="3" t="n">
        <v>1954</v>
      </c>
      <c r="G5" t="n">
        <v>4</v>
      </c>
      <c r="H5" s="3" t="n">
        <v>-670</v>
      </c>
      <c r="J5" t="n">
        <v>4</v>
      </c>
      <c r="K5" s="3" t="n"/>
      <c r="M5" t="n">
        <v>4</v>
      </c>
      <c r="N5" s="3" t="n"/>
      <c r="P5" t="n">
        <v>4</v>
      </c>
      <c r="Q5" s="3" t="n"/>
      <c r="S5" t="n">
        <v>4</v>
      </c>
      <c r="T5" s="3" t="n"/>
      <c r="V5" t="n">
        <v>4</v>
      </c>
      <c r="W5" s="3" t="n"/>
      <c r="Y5" t="n">
        <v>4</v>
      </c>
      <c r="Z5" s="3" t="n"/>
      <c r="AB5" t="n">
        <v>4</v>
      </c>
      <c r="AC5" s="3" t="n"/>
      <c r="AE5" t="n">
        <v>4</v>
      </c>
      <c r="AF5" s="3" t="n"/>
      <c r="AH5" t="n">
        <v>4</v>
      </c>
      <c r="AI5" s="3" t="n"/>
    </row>
    <row r="6">
      <c r="A6" t="n">
        <v>5</v>
      </c>
      <c r="D6" t="n">
        <v>5</v>
      </c>
      <c r="E6" s="3" t="n"/>
      <c r="G6" t="n">
        <v>5</v>
      </c>
      <c r="H6" s="3" t="n">
        <v>557</v>
      </c>
      <c r="J6" t="n">
        <v>5</v>
      </c>
      <c r="K6" s="3" t="n"/>
      <c r="M6" t="n">
        <v>5</v>
      </c>
      <c r="N6" s="3" t="n"/>
      <c r="P6" t="n">
        <v>5</v>
      </c>
      <c r="Q6" s="3" t="n"/>
      <c r="S6" t="n">
        <v>5</v>
      </c>
      <c r="T6" s="3" t="n"/>
      <c r="V6" t="n">
        <v>5</v>
      </c>
      <c r="W6" s="3" t="n"/>
      <c r="Y6" t="n">
        <v>5</v>
      </c>
      <c r="Z6" s="3" t="n"/>
      <c r="AB6" t="n">
        <v>5</v>
      </c>
      <c r="AC6" s="3" t="n"/>
      <c r="AE6" t="n">
        <v>5</v>
      </c>
      <c r="AF6" s="3" t="n"/>
      <c r="AH6" t="n">
        <v>5</v>
      </c>
      <c r="AI6" s="3" t="n"/>
    </row>
    <row r="7">
      <c r="A7" t="n">
        <v>6</v>
      </c>
      <c r="D7" t="n">
        <v>6</v>
      </c>
      <c r="E7" s="3" t="n">
        <v>-600</v>
      </c>
      <c r="G7" t="n">
        <v>6</v>
      </c>
      <c r="H7" s="3" t="n">
        <v>2269</v>
      </c>
      <c r="J7" t="n">
        <v>6</v>
      </c>
      <c r="K7" s="3" t="n"/>
      <c r="M7" t="n">
        <v>6</v>
      </c>
      <c r="N7" s="3" t="n"/>
      <c r="P7" t="n">
        <v>6</v>
      </c>
      <c r="Q7" s="3" t="n"/>
      <c r="S7" t="n">
        <v>6</v>
      </c>
      <c r="T7" s="3" t="n"/>
      <c r="V7" t="n">
        <v>6</v>
      </c>
      <c r="W7" s="3" t="n"/>
      <c r="Y7" t="n">
        <v>6</v>
      </c>
      <c r="Z7" s="3" t="n"/>
      <c r="AB7" t="n">
        <v>6</v>
      </c>
      <c r="AC7" s="3" t="n"/>
      <c r="AE7" t="n">
        <v>6</v>
      </c>
      <c r="AF7" s="3" t="n"/>
      <c r="AH7" t="n">
        <v>6</v>
      </c>
      <c r="AI7" s="3" t="n"/>
    </row>
    <row r="8">
      <c r="A8" t="n">
        <v>7</v>
      </c>
      <c r="B8" s="3" t="n">
        <v>1198</v>
      </c>
      <c r="D8" t="n">
        <v>7</v>
      </c>
      <c r="E8" s="3" t="n"/>
      <c r="G8" t="n">
        <v>7</v>
      </c>
      <c r="H8" s="3" t="n"/>
      <c r="J8" t="n">
        <v>7</v>
      </c>
      <c r="K8" s="3" t="n"/>
      <c r="M8" t="n">
        <v>7</v>
      </c>
      <c r="N8" s="3" t="n"/>
      <c r="P8" t="n">
        <v>7</v>
      </c>
      <c r="Q8" s="3" t="n"/>
      <c r="S8" t="n">
        <v>7</v>
      </c>
      <c r="T8" s="3" t="n"/>
      <c r="V8" t="n">
        <v>7</v>
      </c>
      <c r="W8" s="3" t="n"/>
      <c r="Y8" t="n">
        <v>7</v>
      </c>
      <c r="Z8" s="3" t="n"/>
      <c r="AB8" t="n">
        <v>7</v>
      </c>
      <c r="AC8" s="3" t="n"/>
      <c r="AE8" t="n">
        <v>7</v>
      </c>
      <c r="AF8" s="3" t="n"/>
      <c r="AH8" t="n">
        <v>7</v>
      </c>
      <c r="AI8" s="3" t="n"/>
    </row>
    <row r="9">
      <c r="A9" t="n">
        <v>8</v>
      </c>
      <c r="B9" s="3" t="n">
        <v>99</v>
      </c>
      <c r="D9" t="n">
        <v>8</v>
      </c>
      <c r="E9" s="3" t="n"/>
      <c r="G9" t="n">
        <v>8</v>
      </c>
      <c r="H9" s="3" t="n"/>
      <c r="J9" t="n">
        <v>8</v>
      </c>
      <c r="K9" s="3" t="n"/>
      <c r="M9" t="n">
        <v>8</v>
      </c>
      <c r="N9" s="3" t="n"/>
      <c r="P9" t="n">
        <v>8</v>
      </c>
      <c r="Q9" s="3" t="n"/>
      <c r="S9" t="n">
        <v>8</v>
      </c>
      <c r="T9" s="3" t="n"/>
      <c r="V9" t="n">
        <v>8</v>
      </c>
      <c r="W9" s="3" t="n"/>
      <c r="Y9" t="n">
        <v>8</v>
      </c>
      <c r="Z9" s="3" t="n"/>
      <c r="AB9" t="n">
        <v>8</v>
      </c>
      <c r="AC9" s="3" t="n"/>
      <c r="AE9" t="n">
        <v>8</v>
      </c>
      <c r="AF9" s="3" t="n"/>
      <c r="AH9" t="n">
        <v>8</v>
      </c>
      <c r="AI9" s="3" t="n"/>
    </row>
    <row r="10">
      <c r="A10" t="n">
        <v>9</v>
      </c>
      <c r="B10" s="3" t="n">
        <v>-718</v>
      </c>
      <c r="D10" t="n">
        <v>9</v>
      </c>
      <c r="E10" s="3" t="n"/>
      <c r="G10" t="n">
        <v>9</v>
      </c>
      <c r="H10" s="3" t="n">
        <v>-1276</v>
      </c>
      <c r="J10" t="n">
        <v>9</v>
      </c>
      <c r="K10" s="3" t="n"/>
      <c r="M10" t="n">
        <v>9</v>
      </c>
      <c r="N10" s="3" t="n"/>
      <c r="P10" t="n">
        <v>9</v>
      </c>
      <c r="Q10" s="3" t="n"/>
      <c r="S10" t="n">
        <v>9</v>
      </c>
      <c r="T10" s="3" t="n"/>
      <c r="V10" t="n">
        <v>9</v>
      </c>
      <c r="W10" s="3" t="n"/>
      <c r="Y10" t="n">
        <v>9</v>
      </c>
      <c r="Z10" s="3" t="n"/>
      <c r="AB10" t="n">
        <v>9</v>
      </c>
      <c r="AC10" s="3" t="n"/>
      <c r="AE10" t="n">
        <v>9</v>
      </c>
      <c r="AF10" s="3" t="n"/>
      <c r="AH10" t="n">
        <v>9</v>
      </c>
      <c r="AI10" s="3" t="n"/>
    </row>
    <row r="11">
      <c r="A11" t="n">
        <v>10</v>
      </c>
      <c r="D11" t="n">
        <v>10</v>
      </c>
      <c r="E11" s="3" t="n"/>
      <c r="G11" t="n">
        <v>10</v>
      </c>
      <c r="H11" s="3" t="n"/>
      <c r="J11" t="n">
        <v>10</v>
      </c>
      <c r="K11" s="3" t="n"/>
      <c r="M11" t="n">
        <v>10</v>
      </c>
      <c r="N11" s="3" t="n"/>
      <c r="P11" t="n">
        <v>10</v>
      </c>
      <c r="Q11" s="3" t="n"/>
      <c r="S11" t="n">
        <v>10</v>
      </c>
      <c r="T11" s="3" t="n"/>
      <c r="V11" t="n">
        <v>10</v>
      </c>
      <c r="W11" s="3" t="n"/>
      <c r="Y11" t="n">
        <v>10</v>
      </c>
      <c r="Z11" s="3" t="n"/>
      <c r="AB11" t="n">
        <v>10</v>
      </c>
      <c r="AC11" s="3" t="n"/>
      <c r="AE11" t="n">
        <v>10</v>
      </c>
      <c r="AF11" s="3" t="n"/>
      <c r="AH11" t="n">
        <v>10</v>
      </c>
      <c r="AI11" s="3" t="n"/>
    </row>
    <row r="12">
      <c r="A12" t="n">
        <v>11</v>
      </c>
      <c r="D12" t="n">
        <v>11</v>
      </c>
      <c r="E12" s="3" t="n">
        <v>-318</v>
      </c>
      <c r="G12" t="n">
        <v>11</v>
      </c>
      <c r="H12" s="3" t="n">
        <v>1250</v>
      </c>
      <c r="J12" t="n">
        <v>11</v>
      </c>
      <c r="K12" s="3" t="n"/>
      <c r="M12" t="n">
        <v>11</v>
      </c>
      <c r="N12" s="3" t="n"/>
      <c r="P12" t="n">
        <v>11</v>
      </c>
      <c r="Q12" s="3" t="n"/>
      <c r="S12" t="n">
        <v>11</v>
      </c>
      <c r="T12" s="3" t="n"/>
      <c r="V12" t="n">
        <v>11</v>
      </c>
      <c r="W12" s="3" t="n"/>
      <c r="Y12" t="n">
        <v>11</v>
      </c>
      <c r="Z12" s="3" t="n"/>
      <c r="AB12" t="n">
        <v>11</v>
      </c>
      <c r="AC12" s="3" t="n"/>
      <c r="AE12" t="n">
        <v>11</v>
      </c>
      <c r="AF12" s="3" t="n"/>
      <c r="AH12" t="n">
        <v>11</v>
      </c>
      <c r="AI12" s="3" t="n"/>
    </row>
    <row r="13">
      <c r="A13" t="n">
        <v>12</v>
      </c>
      <c r="D13" t="n">
        <v>12</v>
      </c>
      <c r="E13" s="3" t="n"/>
      <c r="G13" t="n">
        <v>12</v>
      </c>
      <c r="H13" s="3" t="n"/>
      <c r="J13" t="n">
        <v>12</v>
      </c>
      <c r="K13" s="3" t="n"/>
      <c r="M13" t="n">
        <v>12</v>
      </c>
      <c r="N13" s="3" t="n"/>
      <c r="P13" t="n">
        <v>12</v>
      </c>
      <c r="Q13" s="3" t="n"/>
      <c r="S13" t="n">
        <v>12</v>
      </c>
      <c r="T13" s="3" t="n"/>
      <c r="V13" t="n">
        <v>12</v>
      </c>
      <c r="W13" s="3" t="n"/>
      <c r="Y13" t="n">
        <v>12</v>
      </c>
      <c r="Z13" s="3" t="n"/>
      <c r="AB13" t="n">
        <v>12</v>
      </c>
      <c r="AC13" s="3" t="n"/>
      <c r="AE13" t="n">
        <v>12</v>
      </c>
      <c r="AF13" s="3" t="n"/>
      <c r="AH13" t="n">
        <v>12</v>
      </c>
      <c r="AI13" s="3" t="n"/>
    </row>
    <row r="14">
      <c r="A14" t="n">
        <v>13</v>
      </c>
      <c r="D14" t="n">
        <v>13</v>
      </c>
      <c r="E14" s="3" t="n">
        <v>734</v>
      </c>
      <c r="G14" t="n">
        <v>13</v>
      </c>
      <c r="H14" s="3" t="n">
        <v>1112.5</v>
      </c>
      <c r="J14" t="n">
        <v>13</v>
      </c>
      <c r="K14" s="3" t="n"/>
      <c r="M14" t="n">
        <v>13</v>
      </c>
      <c r="N14" s="3" t="n"/>
      <c r="P14" t="n">
        <v>13</v>
      </c>
      <c r="Q14" s="3" t="n"/>
      <c r="S14" t="n">
        <v>13</v>
      </c>
      <c r="T14" s="3" t="n"/>
      <c r="V14" t="n">
        <v>13</v>
      </c>
      <c r="W14" s="3" t="n"/>
      <c r="Y14" t="n">
        <v>13</v>
      </c>
      <c r="Z14" s="3" t="n"/>
      <c r="AB14" t="n">
        <v>13</v>
      </c>
      <c r="AC14" s="3" t="n"/>
      <c r="AE14" t="n">
        <v>13</v>
      </c>
      <c r="AF14" s="3" t="n"/>
      <c r="AH14" t="n">
        <v>13</v>
      </c>
      <c r="AI14" s="3" t="n"/>
    </row>
    <row r="15">
      <c r="A15" t="n">
        <v>14</v>
      </c>
      <c r="B15" s="3" t="n">
        <v>790</v>
      </c>
      <c r="D15" t="n">
        <v>14</v>
      </c>
      <c r="E15" s="3" t="n"/>
      <c r="G15" t="n">
        <v>14</v>
      </c>
      <c r="H15" s="3" t="n"/>
      <c r="J15" t="n">
        <v>14</v>
      </c>
      <c r="K15" s="3" t="n"/>
      <c r="M15" t="n">
        <v>14</v>
      </c>
      <c r="N15" s="3" t="n"/>
      <c r="P15" t="n">
        <v>14</v>
      </c>
      <c r="Q15" s="3" t="n"/>
      <c r="S15" t="n">
        <v>14</v>
      </c>
      <c r="T15" s="3" t="n"/>
      <c r="V15" t="n">
        <v>14</v>
      </c>
      <c r="W15" s="3" t="n"/>
      <c r="Y15" t="n">
        <v>14</v>
      </c>
      <c r="Z15" s="3" t="n"/>
      <c r="AB15" t="n">
        <v>14</v>
      </c>
      <c r="AC15" s="3" t="n"/>
      <c r="AE15" t="n">
        <v>14</v>
      </c>
      <c r="AF15" s="3" t="n"/>
      <c r="AH15" t="n">
        <v>14</v>
      </c>
      <c r="AI15" s="3" t="n"/>
    </row>
    <row r="16">
      <c r="A16" t="n">
        <v>15</v>
      </c>
      <c r="B16" s="3" t="n">
        <v>708</v>
      </c>
      <c r="D16" t="n">
        <v>15</v>
      </c>
      <c r="E16" s="3" t="n"/>
      <c r="G16" t="n">
        <v>15</v>
      </c>
      <c r="H16" s="3" t="n"/>
      <c r="J16" t="n">
        <v>15</v>
      </c>
      <c r="K16" s="3" t="n"/>
      <c r="M16" t="n">
        <v>15</v>
      </c>
      <c r="N16" s="3" t="n"/>
      <c r="P16" t="n">
        <v>15</v>
      </c>
      <c r="Q16" s="3" t="n"/>
      <c r="S16" t="n">
        <v>15</v>
      </c>
      <c r="T16" s="3" t="n"/>
      <c r="V16" t="n">
        <v>15</v>
      </c>
      <c r="W16" s="3" t="n"/>
      <c r="Y16" t="n">
        <v>15</v>
      </c>
      <c r="Z16" s="3" t="n"/>
      <c r="AB16" t="n">
        <v>15</v>
      </c>
      <c r="AC16" s="3" t="n"/>
      <c r="AE16" t="n">
        <v>15</v>
      </c>
      <c r="AF16" s="3" t="n"/>
      <c r="AH16" t="n">
        <v>15</v>
      </c>
      <c r="AI16" s="3" t="n"/>
    </row>
    <row r="17">
      <c r="A17" t="n">
        <v>16</v>
      </c>
      <c r="B17" s="3" t="n">
        <v>42</v>
      </c>
      <c r="D17" t="n">
        <v>16</v>
      </c>
      <c r="E17" s="3" t="n"/>
      <c r="G17" t="n">
        <v>16</v>
      </c>
      <c r="H17" s="3" t="n">
        <v>1345</v>
      </c>
      <c r="J17" t="n">
        <v>16</v>
      </c>
      <c r="K17" s="3" t="n"/>
      <c r="M17" t="n">
        <v>16</v>
      </c>
      <c r="N17" s="3" t="n"/>
      <c r="P17" t="n">
        <v>16</v>
      </c>
      <c r="Q17" s="3" t="n"/>
      <c r="S17" t="n">
        <v>16</v>
      </c>
      <c r="T17" s="3" t="n"/>
      <c r="V17" t="n">
        <v>16</v>
      </c>
      <c r="W17" s="3" t="n"/>
      <c r="Y17" t="n">
        <v>16</v>
      </c>
      <c r="Z17" s="3" t="n"/>
      <c r="AB17" t="n">
        <v>16</v>
      </c>
      <c r="AC17" s="3" t="n"/>
      <c r="AE17" t="n">
        <v>16</v>
      </c>
      <c r="AF17" s="3" t="n"/>
      <c r="AH17" t="n">
        <v>16</v>
      </c>
      <c r="AI17" s="3" t="n"/>
    </row>
    <row r="18">
      <c r="A18" t="n">
        <v>17</v>
      </c>
      <c r="D18" t="n">
        <v>17</v>
      </c>
      <c r="E18" s="3" t="n"/>
      <c r="G18" t="n">
        <v>17</v>
      </c>
      <c r="H18" s="3" t="n">
        <v>672</v>
      </c>
      <c r="J18" t="n">
        <v>17</v>
      </c>
      <c r="K18" s="3" t="n"/>
      <c r="M18" t="n">
        <v>17</v>
      </c>
      <c r="N18" s="3" t="n"/>
      <c r="P18" t="n">
        <v>17</v>
      </c>
      <c r="Q18" s="3" t="n"/>
      <c r="S18" t="n">
        <v>17</v>
      </c>
      <c r="T18" s="3" t="n"/>
      <c r="V18" t="n">
        <v>17</v>
      </c>
      <c r="W18" s="3" t="n"/>
      <c r="Y18" t="n">
        <v>17</v>
      </c>
      <c r="Z18" s="3" t="n"/>
      <c r="AB18" t="n">
        <v>17</v>
      </c>
      <c r="AC18" s="3" t="n"/>
      <c r="AE18" t="n">
        <v>17</v>
      </c>
      <c r="AF18" s="3" t="n"/>
      <c r="AH18" t="n">
        <v>17</v>
      </c>
      <c r="AI18" s="3" t="n"/>
    </row>
    <row r="19">
      <c r="A19" t="n">
        <v>18</v>
      </c>
      <c r="D19" t="n">
        <v>18</v>
      </c>
      <c r="E19" s="3" t="n">
        <v>-1592</v>
      </c>
      <c r="G19" t="n">
        <v>18</v>
      </c>
      <c r="H19" s="3" t="n">
        <v>865</v>
      </c>
      <c r="J19" t="n">
        <v>18</v>
      </c>
      <c r="K19" s="3" t="n"/>
      <c r="M19" t="n">
        <v>18</v>
      </c>
      <c r="N19" s="3" t="n"/>
      <c r="P19" t="n">
        <v>18</v>
      </c>
      <c r="Q19" s="3" t="n"/>
      <c r="S19" t="n">
        <v>18</v>
      </c>
      <c r="T19" s="3" t="n"/>
      <c r="V19" t="n">
        <v>18</v>
      </c>
      <c r="W19" s="3" t="n"/>
      <c r="Y19" t="n">
        <v>18</v>
      </c>
      <c r="Z19" s="3" t="n"/>
      <c r="AB19" t="n">
        <v>18</v>
      </c>
      <c r="AC19" s="3" t="n"/>
      <c r="AE19" t="n">
        <v>18</v>
      </c>
      <c r="AF19" s="3" t="n"/>
      <c r="AH19" t="n">
        <v>18</v>
      </c>
      <c r="AI19" s="3" t="n"/>
    </row>
    <row r="20">
      <c r="A20" t="n">
        <v>19</v>
      </c>
      <c r="D20" t="n">
        <v>19</v>
      </c>
      <c r="E20" s="3" t="n"/>
      <c r="G20" t="n">
        <v>19</v>
      </c>
      <c r="H20" s="3" t="n">
        <v>1162</v>
      </c>
      <c r="J20" t="n">
        <v>19</v>
      </c>
      <c r="K20" s="3" t="n"/>
      <c r="M20" t="n">
        <v>19</v>
      </c>
      <c r="N20" s="3" t="n"/>
      <c r="P20" t="n">
        <v>19</v>
      </c>
      <c r="Q20" s="3" t="n"/>
      <c r="S20" t="n">
        <v>19</v>
      </c>
      <c r="T20" s="3" t="n"/>
      <c r="V20" t="n">
        <v>19</v>
      </c>
      <c r="W20" s="3" t="n"/>
      <c r="Y20" t="n">
        <v>19</v>
      </c>
      <c r="Z20" s="3" t="n"/>
      <c r="AB20" t="n">
        <v>19</v>
      </c>
      <c r="AC20" s="3" t="n"/>
      <c r="AE20" t="n">
        <v>19</v>
      </c>
      <c r="AF20" s="3" t="n"/>
      <c r="AH20" t="n">
        <v>19</v>
      </c>
      <c r="AI20" s="3" t="n"/>
    </row>
    <row r="21">
      <c r="A21" t="n">
        <v>20</v>
      </c>
      <c r="B21" s="3" t="n">
        <v>557</v>
      </c>
      <c r="D21" t="n">
        <v>20</v>
      </c>
      <c r="E21" s="3" t="n">
        <v>1440</v>
      </c>
      <c r="G21" t="n">
        <v>20</v>
      </c>
      <c r="H21" s="3" t="n">
        <v>2830</v>
      </c>
      <c r="J21" t="n">
        <v>20</v>
      </c>
      <c r="K21" s="3" t="n"/>
      <c r="M21" t="n">
        <v>20</v>
      </c>
      <c r="N21" s="3" t="n"/>
      <c r="P21" t="n">
        <v>20</v>
      </c>
      <c r="Q21" s="3" t="n"/>
      <c r="S21" t="n">
        <v>20</v>
      </c>
      <c r="T21" s="3" t="n"/>
      <c r="V21" t="n">
        <v>20</v>
      </c>
      <c r="W21" s="3" t="n"/>
      <c r="Y21" t="n">
        <v>20</v>
      </c>
      <c r="Z21" s="3" t="n"/>
      <c r="AB21" t="n">
        <v>20</v>
      </c>
      <c r="AC21" s="3" t="n"/>
      <c r="AE21" t="n">
        <v>20</v>
      </c>
      <c r="AF21" s="3" t="n"/>
      <c r="AH21" t="n">
        <v>20</v>
      </c>
      <c r="AI21" s="3" t="n"/>
    </row>
    <row r="22">
      <c r="A22" t="n">
        <v>21</v>
      </c>
      <c r="B22" s="3" t="n">
        <v>1098</v>
      </c>
      <c r="D22" t="n">
        <v>21</v>
      </c>
      <c r="E22" s="3" t="n"/>
      <c r="G22" t="n">
        <v>21</v>
      </c>
      <c r="H22" s="3" t="n"/>
      <c r="J22" t="n">
        <v>21</v>
      </c>
      <c r="K22" s="3" t="n"/>
      <c r="M22" t="n">
        <v>21</v>
      </c>
      <c r="N22" s="3" t="n"/>
      <c r="P22" t="n">
        <v>21</v>
      </c>
      <c r="Q22" s="3" t="n"/>
      <c r="S22" t="n">
        <v>21</v>
      </c>
      <c r="T22" s="3" t="n"/>
      <c r="V22" t="n">
        <v>21</v>
      </c>
      <c r="W22" s="3" t="n"/>
      <c r="Y22" t="n">
        <v>21</v>
      </c>
      <c r="Z22" s="3" t="n"/>
      <c r="AB22" t="n">
        <v>21</v>
      </c>
      <c r="AC22" s="3" t="n"/>
      <c r="AE22" t="n">
        <v>21</v>
      </c>
      <c r="AF22" s="3" t="n"/>
      <c r="AH22" t="n">
        <v>21</v>
      </c>
      <c r="AI22" s="3" t="n"/>
    </row>
    <row r="23">
      <c r="A23" t="n">
        <v>22</v>
      </c>
      <c r="D23" t="n">
        <v>22</v>
      </c>
      <c r="E23" s="3" t="n"/>
      <c r="G23" t="n">
        <v>22</v>
      </c>
      <c r="H23" s="3" t="n"/>
      <c r="J23" t="n">
        <v>22</v>
      </c>
      <c r="K23" s="3" t="n"/>
      <c r="M23" t="n">
        <v>22</v>
      </c>
      <c r="N23" s="3" t="n"/>
      <c r="P23" t="n">
        <v>22</v>
      </c>
      <c r="Q23" s="3" t="n"/>
      <c r="S23" t="n">
        <v>22</v>
      </c>
      <c r="T23" s="3" t="n"/>
      <c r="V23" t="n">
        <v>22</v>
      </c>
      <c r="W23" s="3" t="n"/>
      <c r="Y23" t="n">
        <v>22</v>
      </c>
      <c r="Z23" s="3" t="n"/>
      <c r="AB23" t="n">
        <v>22</v>
      </c>
      <c r="AC23" s="3" t="n"/>
      <c r="AE23" t="n">
        <v>22</v>
      </c>
      <c r="AF23" s="3" t="n"/>
      <c r="AH23" t="n">
        <v>22</v>
      </c>
      <c r="AI23" s="3" t="n"/>
    </row>
    <row r="24">
      <c r="A24" t="n">
        <v>23</v>
      </c>
      <c r="D24" t="n">
        <v>23</v>
      </c>
      <c r="E24" s="3" t="n"/>
      <c r="G24" t="n">
        <v>23</v>
      </c>
      <c r="H24" s="3" t="n">
        <v>750</v>
      </c>
      <c r="J24" t="n">
        <v>23</v>
      </c>
      <c r="K24" s="3" t="n"/>
      <c r="M24" t="n">
        <v>23</v>
      </c>
      <c r="N24" s="3" t="n"/>
      <c r="P24" t="n">
        <v>23</v>
      </c>
      <c r="Q24" s="3" t="n"/>
      <c r="S24" t="n">
        <v>23</v>
      </c>
      <c r="T24" s="3" t="n"/>
      <c r="V24" t="n">
        <v>23</v>
      </c>
      <c r="W24" s="3" t="n"/>
      <c r="Y24" t="n">
        <v>23</v>
      </c>
      <c r="Z24" s="3" t="n"/>
      <c r="AB24" t="n">
        <v>23</v>
      </c>
      <c r="AC24" s="3" t="n"/>
      <c r="AE24" t="n">
        <v>23</v>
      </c>
      <c r="AF24" s="3" t="n"/>
      <c r="AH24" t="n">
        <v>23</v>
      </c>
      <c r="AI24" s="3" t="n"/>
    </row>
    <row r="25">
      <c r="A25" t="n">
        <v>24</v>
      </c>
      <c r="D25" t="n">
        <v>24</v>
      </c>
      <c r="E25" s="3" t="n">
        <v>853</v>
      </c>
      <c r="G25" t="n">
        <v>24</v>
      </c>
      <c r="H25" s="3" t="n">
        <v>440</v>
      </c>
      <c r="J25" t="n">
        <v>24</v>
      </c>
      <c r="K25" s="3" t="n"/>
      <c r="M25" t="n">
        <v>24</v>
      </c>
      <c r="N25" s="3" t="n"/>
      <c r="P25" t="n">
        <v>24</v>
      </c>
      <c r="Q25" s="3" t="n"/>
      <c r="S25" t="n">
        <v>24</v>
      </c>
      <c r="T25" s="3" t="n"/>
      <c r="V25" t="n">
        <v>24</v>
      </c>
      <c r="W25" s="3" t="n"/>
      <c r="Y25" t="n">
        <v>24</v>
      </c>
      <c r="Z25" s="3" t="n"/>
      <c r="AB25" t="n">
        <v>24</v>
      </c>
      <c r="AC25" s="3" t="n"/>
      <c r="AE25" t="n">
        <v>24</v>
      </c>
      <c r="AF25" s="3" t="n"/>
      <c r="AH25" t="n">
        <v>24</v>
      </c>
      <c r="AI25" s="3" t="n"/>
    </row>
    <row r="26">
      <c r="A26" t="n">
        <v>25</v>
      </c>
      <c r="D26" t="n">
        <v>25</v>
      </c>
      <c r="E26" s="3" t="n">
        <v>506</v>
      </c>
      <c r="G26" t="n">
        <v>25</v>
      </c>
      <c r="H26" s="3" t="n">
        <v>1770</v>
      </c>
      <c r="J26" t="n">
        <v>25</v>
      </c>
      <c r="K26" s="3" t="n"/>
      <c r="M26" t="n">
        <v>25</v>
      </c>
      <c r="N26" s="3" t="n"/>
      <c r="P26" t="n">
        <v>25</v>
      </c>
      <c r="Q26" s="3" t="n"/>
      <c r="S26" t="n">
        <v>25</v>
      </c>
      <c r="T26" s="3" t="n"/>
      <c r="V26" t="n">
        <v>25</v>
      </c>
      <c r="W26" s="3" t="n"/>
      <c r="Y26" t="n">
        <v>25</v>
      </c>
      <c r="Z26" s="3" t="n"/>
      <c r="AB26" t="n">
        <v>25</v>
      </c>
      <c r="AC26" s="3" t="n"/>
      <c r="AE26" t="n">
        <v>25</v>
      </c>
      <c r="AF26" s="3" t="n"/>
      <c r="AH26" t="n">
        <v>25</v>
      </c>
      <c r="AI26" s="3" t="n"/>
    </row>
    <row r="27">
      <c r="A27" t="n">
        <v>26</v>
      </c>
      <c r="D27" t="n">
        <v>26</v>
      </c>
      <c r="E27" s="3" t="n"/>
      <c r="G27" t="n">
        <v>26</v>
      </c>
      <c r="H27" s="3" t="n">
        <v>580</v>
      </c>
      <c r="J27" t="n">
        <v>26</v>
      </c>
      <c r="K27" s="3" t="n"/>
      <c r="M27" t="n">
        <v>26</v>
      </c>
      <c r="N27" s="3" t="n"/>
      <c r="P27" t="n">
        <v>26</v>
      </c>
      <c r="Q27" s="3" t="n"/>
      <c r="S27" t="n">
        <v>26</v>
      </c>
      <c r="T27" s="3" t="n"/>
      <c r="V27" t="n">
        <v>26</v>
      </c>
      <c r="W27" s="3" t="n"/>
      <c r="Y27" t="n">
        <v>26</v>
      </c>
      <c r="Z27" s="3" t="n"/>
      <c r="AB27" t="n">
        <v>26</v>
      </c>
      <c r="AC27" s="3" t="n"/>
      <c r="AE27" t="n">
        <v>26</v>
      </c>
      <c r="AF27" s="3" t="n"/>
      <c r="AH27" t="n">
        <v>26</v>
      </c>
      <c r="AI27" s="3" t="n"/>
    </row>
    <row r="28">
      <c r="A28" t="n">
        <v>27</v>
      </c>
      <c r="D28" t="n">
        <v>27</v>
      </c>
      <c r="E28" s="3" t="n">
        <v>-706</v>
      </c>
      <c r="G28" t="n">
        <v>27</v>
      </c>
      <c r="H28" s="3" t="n">
        <v>2870</v>
      </c>
      <c r="J28" t="n">
        <v>27</v>
      </c>
      <c r="K28" s="3" t="n"/>
      <c r="M28" t="n">
        <v>27</v>
      </c>
      <c r="N28" s="3" t="n"/>
      <c r="P28" t="n">
        <v>27</v>
      </c>
      <c r="Q28" s="3" t="n"/>
      <c r="S28" t="n">
        <v>27</v>
      </c>
      <c r="T28" s="3" t="n"/>
      <c r="V28" t="n">
        <v>27</v>
      </c>
      <c r="W28" s="3" t="n"/>
      <c r="Y28" t="n">
        <v>27</v>
      </c>
      <c r="Z28" s="3" t="n"/>
      <c r="AB28" t="n">
        <v>27</v>
      </c>
      <c r="AC28" s="3" t="n"/>
      <c r="AE28" t="n">
        <v>27</v>
      </c>
      <c r="AF28" s="3" t="n"/>
      <c r="AH28" t="n">
        <v>27</v>
      </c>
      <c r="AI28" s="3" t="n"/>
    </row>
    <row r="29">
      <c r="A29" t="n">
        <v>28</v>
      </c>
      <c r="D29" t="n">
        <v>28</v>
      </c>
      <c r="E29" s="3" t="n"/>
      <c r="G29" t="n">
        <v>28</v>
      </c>
      <c r="H29" s="3" t="n"/>
      <c r="J29" t="n">
        <v>28</v>
      </c>
      <c r="K29" s="3" t="n"/>
      <c r="M29" t="n">
        <v>28</v>
      </c>
      <c r="N29" s="3" t="n"/>
      <c r="P29" t="n">
        <v>28</v>
      </c>
      <c r="Q29" s="3" t="n"/>
      <c r="S29" t="n">
        <v>28</v>
      </c>
      <c r="T29" s="3" t="n"/>
      <c r="V29" t="n">
        <v>28</v>
      </c>
      <c r="W29" s="3" t="n"/>
      <c r="Y29" t="n">
        <v>28</v>
      </c>
      <c r="Z29" s="3" t="n"/>
      <c r="AB29" t="n">
        <v>28</v>
      </c>
      <c r="AC29" s="3" t="n"/>
      <c r="AE29" t="n">
        <v>28</v>
      </c>
      <c r="AF29" s="3" t="n"/>
      <c r="AH29" t="n">
        <v>28</v>
      </c>
      <c r="AI29" s="3" t="n"/>
    </row>
    <row r="30">
      <c r="A30" t="n">
        <v>29</v>
      </c>
      <c r="D30" t="n">
        <v>29</v>
      </c>
      <c r="E30" s="3" t="n"/>
      <c r="G30" t="n">
        <v>29</v>
      </c>
      <c r="H30" s="3" t="n"/>
      <c r="J30" t="n">
        <v>29</v>
      </c>
      <c r="K30" s="3" t="n"/>
      <c r="M30" t="n">
        <v>29</v>
      </c>
      <c r="N30" s="3" t="n"/>
      <c r="P30" t="n">
        <v>29</v>
      </c>
      <c r="Q30" s="3" t="n"/>
      <c r="S30" t="n">
        <v>29</v>
      </c>
      <c r="T30" s="3" t="n"/>
      <c r="V30" t="n">
        <v>29</v>
      </c>
      <c r="W30" s="3" t="n"/>
      <c r="Y30" t="n">
        <v>29</v>
      </c>
      <c r="Z30" s="3" t="n"/>
      <c r="AB30" t="n">
        <v>29</v>
      </c>
      <c r="AC30" s="3" t="n"/>
      <c r="AE30" t="n">
        <v>29</v>
      </c>
      <c r="AF30" s="3" t="n"/>
      <c r="AH30" t="n">
        <v>29</v>
      </c>
      <c r="AI30" s="3" t="n"/>
    </row>
    <row r="31">
      <c r="A31" t="n">
        <v>30</v>
      </c>
      <c r="D31" t="n">
        <v>30</v>
      </c>
      <c r="E31" s="3" t="n"/>
      <c r="G31" t="n">
        <v>30</v>
      </c>
      <c r="H31" s="3" t="n">
        <v>141</v>
      </c>
      <c r="J31" t="n">
        <v>30</v>
      </c>
      <c r="K31" s="3" t="n"/>
      <c r="M31" t="n">
        <v>30</v>
      </c>
      <c r="N31" s="3" t="n"/>
      <c r="P31" t="n">
        <v>30</v>
      </c>
      <c r="S31" t="n">
        <v>30</v>
      </c>
      <c r="V31" t="n">
        <v>30</v>
      </c>
      <c r="Y31" t="n">
        <v>30</v>
      </c>
      <c r="AB31" t="n">
        <v>30</v>
      </c>
      <c r="AC31" s="3" t="n"/>
      <c r="AE31" t="n">
        <v>30</v>
      </c>
      <c r="AF31" s="3" t="n"/>
      <c r="AH31" t="n">
        <v>30</v>
      </c>
      <c r="AI31" s="3" t="n"/>
    </row>
    <row r="32">
      <c r="A32" t="n">
        <v>31</v>
      </c>
      <c r="D32" t="n">
        <v>31</v>
      </c>
      <c r="E32" s="3" t="n"/>
      <c r="G32" t="n">
        <v>31</v>
      </c>
      <c r="H32" s="3" t="n">
        <v>57.5</v>
      </c>
      <c r="J32" t="n">
        <v>31</v>
      </c>
      <c r="K32" s="3" t="n"/>
      <c r="M32" t="n">
        <v>31</v>
      </c>
      <c r="N32" s="3" t="n"/>
      <c r="P32" t="n">
        <v>31</v>
      </c>
      <c r="S32" t="n">
        <v>31</v>
      </c>
      <c r="V32" t="n">
        <v>31</v>
      </c>
      <c r="Y32" t="n">
        <v>31</v>
      </c>
      <c r="AB32" t="n">
        <v>31</v>
      </c>
      <c r="AC32" s="3" t="n"/>
      <c r="AE32" t="n">
        <v>31</v>
      </c>
      <c r="AF32" s="3" t="n"/>
      <c r="AH32" t="n">
        <v>31</v>
      </c>
      <c r="AI32" s="3" t="n"/>
    </row>
    <row r="33">
      <c r="E33" s="3" t="n"/>
      <c r="H33" s="3" t="n"/>
    </row>
    <row r="34">
      <c r="E34" s="3" t="n"/>
      <c r="H34" s="3" t="n"/>
    </row>
    <row r="35">
      <c r="A35" t="inlineStr">
        <is>
          <t>Total</t>
        </is>
      </c>
      <c r="B35" s="3">
        <f>SUM(B2:B34)</f>
        <v/>
      </c>
      <c r="E35" s="3">
        <f>SUM(E2:E27)</f>
        <v/>
      </c>
      <c r="H35" s="3">
        <f>SUM(H2:H34)</f>
        <v/>
      </c>
      <c r="K35" s="3">
        <f>SUM(K2:K34)</f>
        <v/>
      </c>
      <c r="N35" s="3">
        <f>SUM(N2:N34)</f>
        <v/>
      </c>
      <c r="Q35" s="3">
        <f>SUM(Q2:Q34)</f>
        <v/>
      </c>
      <c r="T35" s="3">
        <f>SUM(T2:T34)</f>
        <v/>
      </c>
      <c r="W35" s="3">
        <f>SUM(W2:W34)</f>
        <v/>
      </c>
      <c r="Z35" s="3">
        <f>SUM(Z2:Z34)</f>
        <v/>
      </c>
      <c r="AC35" s="3">
        <f>SUM(AC2:AC34)</f>
        <v/>
      </c>
      <c r="AF35" s="3">
        <f>SUM(AF2:AF34)</f>
        <v/>
      </c>
      <c r="AI35" s="3">
        <f>SUM(AI2:AI34)</f>
        <v/>
      </c>
    </row>
  </sheetData>
  <mergeCells count="3">
    <mergeCell ref="D1:E1"/>
    <mergeCell ref="G1:H1"/>
    <mergeCell ref="A1:B1"/>
  </mergeCells>
  <conditionalFormatting sqref="B2:B32">
    <cfRule type="cellIs" priority="43" operator="lessThan" dxfId="1">
      <formula>0</formula>
    </cfRule>
    <cfRule type="cellIs" priority="44" operator="greaterThan" dxfId="0">
      <formula>0</formula>
    </cfRule>
  </conditionalFormatting>
  <conditionalFormatting sqref="B35">
    <cfRule type="cellIs" priority="42" operator="greaterThan" dxfId="0">
      <formula>0</formula>
    </cfRule>
    <cfRule type="cellIs" priority="41" operator="lessThan" dxfId="1">
      <formula>0</formula>
    </cfRule>
  </conditionalFormatting>
  <conditionalFormatting sqref="E2:E35">
    <cfRule type="cellIs" priority="39" operator="lessThan" dxfId="1">
      <formula>0</formula>
    </cfRule>
    <cfRule type="cellIs" priority="40" operator="greaterThan" dxfId="0">
      <formula>0</formula>
    </cfRule>
  </conditionalFormatting>
  <conditionalFormatting sqref="H2:H35">
    <cfRule type="cellIs" priority="34" operator="greaterThan" dxfId="0">
      <formula>0</formula>
    </cfRule>
    <cfRule type="cellIs" priority="33" operator="lessThan" dxfId="1">
      <formula>0</formula>
    </cfRule>
  </conditionalFormatting>
  <conditionalFormatting sqref="K2:K32">
    <cfRule type="cellIs" priority="38" operator="greaterThan" dxfId="0">
      <formula>0</formula>
    </cfRule>
    <cfRule type="cellIs" priority="37" operator="lessThan" dxfId="1">
      <formula>0</formula>
    </cfRule>
  </conditionalFormatting>
  <conditionalFormatting sqref="K35">
    <cfRule type="cellIs" priority="36" operator="greaterThan" dxfId="0">
      <formula>0</formula>
    </cfRule>
    <cfRule type="cellIs" priority="35" operator="lessThan" dxfId="1">
      <formula>0</formula>
    </cfRule>
  </conditionalFormatting>
  <conditionalFormatting sqref="N2:N32">
    <cfRule type="cellIs" priority="32" operator="greaterThan" dxfId="0">
      <formula>0</formula>
    </cfRule>
    <cfRule type="cellIs" priority="31" operator="lessThan" dxfId="1">
      <formula>0</formula>
    </cfRule>
  </conditionalFormatting>
  <conditionalFormatting sqref="N35">
    <cfRule type="cellIs" priority="30" operator="greaterThan" dxfId="0">
      <formula>0</formula>
    </cfRule>
    <cfRule type="cellIs" priority="29" operator="lessThan" dxfId="1">
      <formula>0</formula>
    </cfRule>
  </conditionalFormatting>
  <conditionalFormatting sqref="Q2:Q30">
    <cfRule type="cellIs" priority="28" operator="greaterThan" dxfId="0">
      <formula>0</formula>
    </cfRule>
    <cfRule type="cellIs" priority="27" operator="lessThan" dxfId="1">
      <formula>0</formula>
    </cfRule>
  </conditionalFormatting>
  <conditionalFormatting sqref="Q35">
    <cfRule type="cellIs" priority="26" operator="greaterThan" dxfId="0">
      <formula>0</formula>
    </cfRule>
    <cfRule type="cellIs" priority="25" operator="lessThan" dxfId="1">
      <formula>0</formula>
    </cfRule>
  </conditionalFormatting>
  <conditionalFormatting sqref="T2:T30">
    <cfRule type="cellIs" priority="23" operator="lessThan" dxfId="1">
      <formula>0</formula>
    </cfRule>
    <cfRule type="cellIs" priority="24" operator="greaterThan" dxfId="0">
      <formula>0</formula>
    </cfRule>
  </conditionalFormatting>
  <conditionalFormatting sqref="T35">
    <cfRule type="cellIs" priority="22" operator="greaterThan" dxfId="0">
      <formula>0</formula>
    </cfRule>
    <cfRule type="cellIs" priority="21" operator="lessThan" dxfId="1">
      <formula>0</formula>
    </cfRule>
  </conditionalFormatting>
  <conditionalFormatting sqref="W2:W30">
    <cfRule type="cellIs" priority="20" operator="greaterThan" dxfId="0">
      <formula>0</formula>
    </cfRule>
    <cfRule type="cellIs" priority="19" operator="lessThan" dxfId="1">
      <formula>0</formula>
    </cfRule>
  </conditionalFormatting>
  <conditionalFormatting sqref="W35">
    <cfRule type="cellIs" priority="18" operator="greaterThan" dxfId="0">
      <formula>0</formula>
    </cfRule>
    <cfRule type="cellIs" priority="17" operator="lessThan" dxfId="1">
      <formula>0</formula>
    </cfRule>
  </conditionalFormatting>
  <conditionalFormatting sqref="Z2:Z30">
    <cfRule type="cellIs" priority="16" operator="greaterThan" dxfId="0">
      <formula>0</formula>
    </cfRule>
    <cfRule type="cellIs" priority="15" operator="lessThan" dxfId="1">
      <formula>0</formula>
    </cfRule>
  </conditionalFormatting>
  <conditionalFormatting sqref="Z35">
    <cfRule type="cellIs" priority="14" operator="greaterThan" dxfId="0">
      <formula>0</formula>
    </cfRule>
    <cfRule type="cellIs" priority="13" operator="lessThan" dxfId="1">
      <formula>0</formula>
    </cfRule>
  </conditionalFormatting>
  <conditionalFormatting sqref="AC2:AC32">
    <cfRule type="cellIs" priority="11" operator="lessThan" dxfId="1">
      <formula>0</formula>
    </cfRule>
    <cfRule type="cellIs" priority="12" operator="greaterThan" dxfId="0">
      <formula>0</formula>
    </cfRule>
  </conditionalFormatting>
  <conditionalFormatting sqref="AC35">
    <cfRule type="cellIs" priority="10" operator="greaterThan" dxfId="0">
      <formula>0</formula>
    </cfRule>
    <cfRule type="cellIs" priority="9" operator="lessThan" dxfId="1">
      <formula>0</formula>
    </cfRule>
  </conditionalFormatting>
  <conditionalFormatting sqref="AF2:AF32">
    <cfRule type="cellIs" priority="8" operator="greaterThan" dxfId="0">
      <formula>0</formula>
    </cfRule>
    <cfRule type="cellIs" priority="7" operator="lessThan" dxfId="1">
      <formula>0</formula>
    </cfRule>
  </conditionalFormatting>
  <conditionalFormatting sqref="AF35">
    <cfRule type="cellIs" priority="6" operator="greaterThan" dxfId="0">
      <formula>0</formula>
    </cfRule>
    <cfRule type="cellIs" priority="5" operator="lessThan" dxfId="1">
      <formula>0</formula>
    </cfRule>
  </conditionalFormatting>
  <conditionalFormatting sqref="AI2:AI32">
    <cfRule type="cellIs" priority="4" operator="greaterThan" dxfId="0">
      <formula>0</formula>
    </cfRule>
    <cfRule type="cellIs" priority="3" operator="lessThan" dxfId="1">
      <formula>0</formula>
    </cfRule>
  </conditionalFormatting>
  <conditionalFormatting sqref="AI35">
    <cfRule type="cellIs" priority="2" operator="greaterThan" dxfId="0">
      <formula>0</formula>
    </cfRule>
    <cfRule type="cellIs" priority="1" operator="lessThan" dxfId="1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>
  <sheetPr codeName="Sheet6">
    <outlinePr summaryBelow="1" summaryRight="1"/>
    <pageSetUpPr/>
  </sheetPr>
  <dimension ref="A1:AI35"/>
  <sheetViews>
    <sheetView topLeftCell="A7" workbookViewId="0">
      <selection activeCell="H26" sqref="H26"/>
    </sheetView>
  </sheetViews>
  <sheetFormatPr baseColWidth="8" defaultRowHeight="15"/>
  <cols>
    <col width="18.42578125" customWidth="1" min="1" max="1"/>
    <col width="15.42578125" customWidth="1" style="3" min="2" max="2"/>
    <col width="11.5703125" customWidth="1" min="4" max="4"/>
    <col width="12.5703125" customWidth="1" min="5" max="5"/>
    <col width="11.5703125" customWidth="1" min="7" max="7"/>
    <col width="12.5703125" customWidth="1" min="8" max="8"/>
    <col width="11.5703125" customWidth="1" min="10" max="10"/>
    <col width="10.140625" bestFit="1" customWidth="1" min="11" max="11"/>
    <col width="10.42578125" bestFit="1" customWidth="1" min="13" max="13"/>
    <col width="10.85546875" bestFit="1" customWidth="1" min="14" max="14"/>
    <col width="10.85546875" bestFit="1" customWidth="1" min="17" max="17"/>
    <col width="10.85546875" bestFit="1" customWidth="1" min="20" max="20"/>
    <col width="10.85546875" bestFit="1" customWidth="1" min="23" max="23"/>
    <col width="10.85546875" bestFit="1" customWidth="1" min="26" max="26"/>
    <col width="10.85546875" bestFit="1" customWidth="1" min="29" max="29"/>
    <col width="10.85546875" bestFit="1" customWidth="1" min="32" max="32"/>
    <col width="10.140625" bestFit="1" customWidth="1" min="35" max="35"/>
  </cols>
  <sheetData>
    <row r="1" customFormat="1" s="2">
      <c r="A1" s="9" t="inlineStr">
        <is>
          <t>January</t>
        </is>
      </c>
      <c r="D1" s="9" t="inlineStr">
        <is>
          <t>February</t>
        </is>
      </c>
      <c r="G1" s="9" t="inlineStr">
        <is>
          <t>March</t>
        </is>
      </c>
      <c r="J1" s="2" t="inlineStr">
        <is>
          <t>April</t>
        </is>
      </c>
      <c r="M1" s="2" t="inlineStr">
        <is>
          <t>May</t>
        </is>
      </c>
      <c r="P1" s="2" t="inlineStr">
        <is>
          <t>Jun</t>
        </is>
      </c>
      <c r="S1" s="2" t="inlineStr">
        <is>
          <t>Jul</t>
        </is>
      </c>
      <c r="V1" s="2" t="inlineStr">
        <is>
          <t>Aug</t>
        </is>
      </c>
      <c r="Y1" s="2" t="inlineStr">
        <is>
          <t>Sep</t>
        </is>
      </c>
      <c r="AB1" s="2" t="inlineStr">
        <is>
          <t>Oct</t>
        </is>
      </c>
      <c r="AE1" s="2" t="inlineStr">
        <is>
          <t>Nov</t>
        </is>
      </c>
      <c r="AH1" s="2" t="inlineStr">
        <is>
          <t>Dec</t>
        </is>
      </c>
    </row>
    <row r="2">
      <c r="A2" t="n">
        <v>1</v>
      </c>
      <c r="D2" t="n">
        <v>1</v>
      </c>
      <c r="E2" s="3" t="n"/>
      <c r="G2" t="n">
        <v>1</v>
      </c>
      <c r="H2" s="3" t="n"/>
      <c r="J2" t="n">
        <v>1</v>
      </c>
      <c r="K2" s="3" t="n"/>
      <c r="M2" t="n">
        <v>1</v>
      </c>
      <c r="N2" s="3" t="n"/>
      <c r="P2" t="n">
        <v>1</v>
      </c>
      <c r="Q2" s="3" t="n"/>
      <c r="S2" t="n">
        <v>1</v>
      </c>
      <c r="T2" s="3" t="n"/>
      <c r="V2" t="n">
        <v>1</v>
      </c>
      <c r="W2" s="3" t="n"/>
      <c r="Y2" t="n">
        <v>1</v>
      </c>
      <c r="Z2" s="3" t="n"/>
      <c r="AB2" t="n">
        <v>1</v>
      </c>
      <c r="AC2" s="3" t="n"/>
      <c r="AE2" t="n">
        <v>1</v>
      </c>
      <c r="AF2" s="3" t="n"/>
      <c r="AH2" t="n">
        <v>1</v>
      </c>
      <c r="AI2" s="3" t="n"/>
    </row>
    <row r="3">
      <c r="A3" t="n">
        <v>2</v>
      </c>
      <c r="B3" s="3" t="n">
        <v>630</v>
      </c>
      <c r="D3" t="n">
        <v>2</v>
      </c>
      <c r="E3" s="3" t="n"/>
      <c r="G3" t="n">
        <v>2</v>
      </c>
      <c r="H3" s="3" t="n"/>
      <c r="J3" t="n">
        <v>2</v>
      </c>
      <c r="K3" s="3" t="n"/>
      <c r="M3" t="n">
        <v>2</v>
      </c>
      <c r="N3" s="3" t="n"/>
      <c r="P3" t="n">
        <v>2</v>
      </c>
      <c r="Q3" s="3" t="n"/>
      <c r="S3" t="n">
        <v>2</v>
      </c>
      <c r="T3" s="3" t="n"/>
      <c r="V3" t="n">
        <v>2</v>
      </c>
      <c r="W3" s="3" t="n"/>
      <c r="Y3" t="n">
        <v>2</v>
      </c>
      <c r="Z3" s="3" t="n"/>
      <c r="AB3" t="n">
        <v>2</v>
      </c>
      <c r="AC3" s="3" t="n"/>
      <c r="AE3" t="n">
        <v>2</v>
      </c>
      <c r="AF3" s="3" t="n"/>
      <c r="AH3" t="n">
        <v>2</v>
      </c>
      <c r="AI3" s="3" t="n"/>
    </row>
    <row r="4">
      <c r="A4" t="n">
        <v>3</v>
      </c>
      <c r="D4" t="n">
        <v>3</v>
      </c>
      <c r="E4" s="3" t="n"/>
      <c r="G4" t="n">
        <v>3</v>
      </c>
      <c r="H4" s="3" t="n"/>
      <c r="J4" t="n">
        <v>3</v>
      </c>
      <c r="K4" s="3" t="n"/>
      <c r="M4" t="n">
        <v>3</v>
      </c>
      <c r="N4" s="3" t="n"/>
      <c r="P4" t="n">
        <v>3</v>
      </c>
      <c r="Q4" s="3" t="n"/>
      <c r="S4" t="n">
        <v>3</v>
      </c>
      <c r="T4" s="3" t="n"/>
      <c r="V4" t="n">
        <v>3</v>
      </c>
      <c r="W4" s="3" t="n"/>
      <c r="Y4" t="n">
        <v>3</v>
      </c>
      <c r="Z4" s="3" t="n"/>
      <c r="AB4" t="n">
        <v>3</v>
      </c>
      <c r="AC4" s="3" t="n"/>
      <c r="AE4" t="n">
        <v>3</v>
      </c>
      <c r="AF4" s="3" t="n"/>
      <c r="AH4" t="n">
        <v>3</v>
      </c>
      <c r="AI4" s="3" t="n"/>
    </row>
    <row r="5">
      <c r="A5" t="n">
        <v>4</v>
      </c>
      <c r="D5" t="n">
        <v>4</v>
      </c>
      <c r="E5" s="3" t="n">
        <v>270</v>
      </c>
      <c r="G5" t="n">
        <v>4</v>
      </c>
      <c r="H5" s="3" t="n"/>
      <c r="J5" t="n">
        <v>4</v>
      </c>
      <c r="K5" s="3" t="n"/>
      <c r="M5" t="n">
        <v>4</v>
      </c>
      <c r="N5" s="3" t="n"/>
      <c r="P5" t="n">
        <v>4</v>
      </c>
      <c r="Q5" s="3" t="n"/>
      <c r="S5" t="n">
        <v>4</v>
      </c>
      <c r="T5" s="3" t="n"/>
      <c r="V5" t="n">
        <v>4</v>
      </c>
      <c r="W5" s="3" t="n"/>
      <c r="Y5" t="n">
        <v>4</v>
      </c>
      <c r="Z5" s="3" t="n"/>
      <c r="AB5" t="n">
        <v>4</v>
      </c>
      <c r="AC5" s="3" t="n"/>
      <c r="AE5" t="n">
        <v>4</v>
      </c>
      <c r="AF5" s="3" t="n"/>
      <c r="AH5" t="n">
        <v>4</v>
      </c>
      <c r="AI5" s="3" t="n"/>
    </row>
    <row r="6">
      <c r="A6" t="n">
        <v>5</v>
      </c>
      <c r="B6" s="3" t="n">
        <v>820</v>
      </c>
      <c r="D6" t="n">
        <v>5</v>
      </c>
      <c r="E6" s="3" t="n">
        <v>-100</v>
      </c>
      <c r="G6" t="n">
        <v>5</v>
      </c>
      <c r="H6" s="3" t="n"/>
      <c r="J6" t="n">
        <v>5</v>
      </c>
      <c r="K6" s="3" t="n"/>
      <c r="M6" t="n">
        <v>5</v>
      </c>
      <c r="N6" s="3" t="n"/>
      <c r="P6" t="n">
        <v>5</v>
      </c>
      <c r="Q6" s="3" t="n"/>
      <c r="S6" t="n">
        <v>5</v>
      </c>
      <c r="T6" s="3" t="n"/>
      <c r="V6" t="n">
        <v>5</v>
      </c>
      <c r="W6" s="3" t="n"/>
      <c r="Y6" t="n">
        <v>5</v>
      </c>
      <c r="Z6" s="3" t="n"/>
      <c r="AB6" t="n">
        <v>5</v>
      </c>
      <c r="AC6" s="3" t="n"/>
      <c r="AE6" t="n">
        <v>5</v>
      </c>
      <c r="AF6" s="3" t="n"/>
      <c r="AH6" t="n">
        <v>5</v>
      </c>
      <c r="AI6" s="3" t="n"/>
    </row>
    <row r="7">
      <c r="A7" t="n">
        <v>6</v>
      </c>
      <c r="D7" t="n">
        <v>6</v>
      </c>
      <c r="E7" s="3" t="n"/>
      <c r="G7" t="n">
        <v>6</v>
      </c>
      <c r="H7" s="3" t="n"/>
      <c r="J7" t="n">
        <v>6</v>
      </c>
      <c r="K7" s="3" t="n"/>
      <c r="M7" t="n">
        <v>6</v>
      </c>
      <c r="N7" s="3" t="n"/>
      <c r="P7" t="n">
        <v>6</v>
      </c>
      <c r="Q7" s="3" t="n"/>
      <c r="S7" t="n">
        <v>6</v>
      </c>
      <c r="T7" s="3" t="n"/>
      <c r="V7" t="n">
        <v>6</v>
      </c>
      <c r="W7" s="3" t="n"/>
      <c r="Y7" t="n">
        <v>6</v>
      </c>
      <c r="Z7" s="3" t="n"/>
      <c r="AB7" t="n">
        <v>6</v>
      </c>
      <c r="AC7" s="3" t="n"/>
      <c r="AE7" t="n">
        <v>6</v>
      </c>
      <c r="AF7" s="3" t="n"/>
      <c r="AH7" t="n">
        <v>6</v>
      </c>
      <c r="AI7" s="3" t="n"/>
    </row>
    <row r="8">
      <c r="A8" t="n">
        <v>7</v>
      </c>
      <c r="B8" s="3" t="n">
        <v>-2790</v>
      </c>
      <c r="D8" t="n">
        <v>7</v>
      </c>
      <c r="E8" s="3" t="n"/>
      <c r="G8" t="n">
        <v>7</v>
      </c>
      <c r="H8" s="3" t="n"/>
      <c r="J8" t="n">
        <v>7</v>
      </c>
      <c r="K8" s="3" t="n"/>
      <c r="M8" t="n">
        <v>7</v>
      </c>
      <c r="N8" s="3" t="n"/>
      <c r="P8" t="n">
        <v>7</v>
      </c>
      <c r="Q8" s="3" t="n"/>
      <c r="S8" t="n">
        <v>7</v>
      </c>
      <c r="T8" s="3" t="n"/>
      <c r="V8" t="n">
        <v>7</v>
      </c>
      <c r="W8" s="3" t="n"/>
      <c r="Y8" t="n">
        <v>7</v>
      </c>
      <c r="Z8" s="3" t="n"/>
      <c r="AB8" t="n">
        <v>7</v>
      </c>
      <c r="AC8" s="3" t="n"/>
      <c r="AE8" t="n">
        <v>7</v>
      </c>
      <c r="AF8" s="3" t="n"/>
      <c r="AH8" t="n">
        <v>7</v>
      </c>
      <c r="AI8" s="3" t="n"/>
    </row>
    <row r="9">
      <c r="A9" t="n">
        <v>8</v>
      </c>
      <c r="D9" t="n">
        <v>8</v>
      </c>
      <c r="E9" s="3" t="n"/>
      <c r="G9" t="n">
        <v>8</v>
      </c>
      <c r="H9" s="3" t="n"/>
      <c r="J9" t="n">
        <v>8</v>
      </c>
      <c r="K9" s="3" t="n"/>
      <c r="M9" t="n">
        <v>8</v>
      </c>
      <c r="N9" s="3" t="n"/>
      <c r="P9" t="n">
        <v>8</v>
      </c>
      <c r="Q9" s="3" t="n"/>
      <c r="S9" t="n">
        <v>8</v>
      </c>
      <c r="T9" s="3" t="n"/>
      <c r="V9" t="n">
        <v>8</v>
      </c>
      <c r="W9" s="3" t="n"/>
      <c r="Y9" t="n">
        <v>8</v>
      </c>
      <c r="Z9" s="3" t="n"/>
      <c r="AB9" t="n">
        <v>8</v>
      </c>
      <c r="AC9" s="3" t="n"/>
      <c r="AE9" t="n">
        <v>8</v>
      </c>
      <c r="AF9" s="3" t="n"/>
      <c r="AH9" t="n">
        <v>8</v>
      </c>
      <c r="AI9" s="3" t="n"/>
    </row>
    <row r="10">
      <c r="A10" t="n">
        <v>9</v>
      </c>
      <c r="D10" t="n">
        <v>9</v>
      </c>
      <c r="E10" s="3" t="n"/>
      <c r="G10" t="n">
        <v>9</v>
      </c>
      <c r="H10" s="3" t="n"/>
      <c r="J10" t="n">
        <v>9</v>
      </c>
      <c r="K10" s="3" t="n"/>
      <c r="M10" t="n">
        <v>9</v>
      </c>
      <c r="N10" s="3" t="n"/>
      <c r="P10" t="n">
        <v>9</v>
      </c>
      <c r="Q10" s="3" t="n"/>
      <c r="S10" t="n">
        <v>9</v>
      </c>
      <c r="T10" s="3" t="n"/>
      <c r="V10" t="n">
        <v>9</v>
      </c>
      <c r="W10" s="3" t="n"/>
      <c r="Y10" t="n">
        <v>9</v>
      </c>
      <c r="Z10" s="3" t="n"/>
      <c r="AB10" t="n">
        <v>9</v>
      </c>
      <c r="AC10" s="3" t="n"/>
      <c r="AE10" t="n">
        <v>9</v>
      </c>
      <c r="AF10" s="3" t="n"/>
      <c r="AH10" t="n">
        <v>9</v>
      </c>
      <c r="AI10" s="3" t="n"/>
    </row>
    <row r="11">
      <c r="A11" t="n">
        <v>10</v>
      </c>
      <c r="D11" t="n">
        <v>10</v>
      </c>
      <c r="E11" s="3" t="n">
        <v>425</v>
      </c>
      <c r="G11" t="n">
        <v>10</v>
      </c>
      <c r="H11" s="3" t="n"/>
      <c r="J11" t="n">
        <v>10</v>
      </c>
      <c r="K11" s="3" t="n"/>
      <c r="M11" t="n">
        <v>10</v>
      </c>
      <c r="N11" s="3" t="n"/>
      <c r="P11" t="n">
        <v>10</v>
      </c>
      <c r="Q11" s="3" t="n"/>
      <c r="S11" t="n">
        <v>10</v>
      </c>
      <c r="T11" s="3" t="n"/>
      <c r="V11" t="n">
        <v>10</v>
      </c>
      <c r="W11" s="3" t="n"/>
      <c r="Y11" t="n">
        <v>10</v>
      </c>
      <c r="Z11" s="3" t="n"/>
      <c r="AB11" t="n">
        <v>10</v>
      </c>
      <c r="AC11" s="3" t="n"/>
      <c r="AE11" t="n">
        <v>10</v>
      </c>
      <c r="AF11" s="3" t="n"/>
      <c r="AH11" t="n">
        <v>10</v>
      </c>
      <c r="AI11" s="3" t="n"/>
    </row>
    <row r="12">
      <c r="A12" t="n">
        <v>11</v>
      </c>
      <c r="D12" t="n">
        <v>11</v>
      </c>
      <c r="E12" s="3" t="n">
        <v>-990</v>
      </c>
      <c r="G12" t="n">
        <v>11</v>
      </c>
      <c r="H12" s="3" t="n"/>
      <c r="J12" t="n">
        <v>11</v>
      </c>
      <c r="K12" s="3" t="n"/>
      <c r="M12" t="n">
        <v>11</v>
      </c>
      <c r="N12" s="3" t="n"/>
      <c r="P12" t="n">
        <v>11</v>
      </c>
      <c r="Q12" s="3" t="n"/>
      <c r="S12" t="n">
        <v>11</v>
      </c>
      <c r="T12" s="3" t="n"/>
      <c r="V12" t="n">
        <v>11</v>
      </c>
      <c r="W12" s="3" t="n"/>
      <c r="Y12" t="n">
        <v>11</v>
      </c>
      <c r="Z12" s="3" t="n"/>
      <c r="AB12" t="n">
        <v>11</v>
      </c>
      <c r="AC12" s="3" t="n"/>
      <c r="AE12" t="n">
        <v>11</v>
      </c>
      <c r="AF12" s="3" t="n"/>
      <c r="AH12" t="n">
        <v>11</v>
      </c>
      <c r="AI12" s="3" t="n"/>
    </row>
    <row r="13">
      <c r="A13" t="n">
        <v>12</v>
      </c>
      <c r="D13" t="n">
        <v>12</v>
      </c>
      <c r="E13" s="3" t="n"/>
      <c r="G13" t="n">
        <v>12</v>
      </c>
      <c r="H13" s="3" t="n"/>
      <c r="J13" t="n">
        <v>12</v>
      </c>
      <c r="K13" s="3" t="n"/>
      <c r="M13" t="n">
        <v>12</v>
      </c>
      <c r="N13" s="3" t="n"/>
      <c r="P13" t="n">
        <v>12</v>
      </c>
      <c r="Q13" s="3" t="n"/>
      <c r="S13" t="n">
        <v>12</v>
      </c>
      <c r="T13" s="3" t="n"/>
      <c r="V13" t="n">
        <v>12</v>
      </c>
      <c r="W13" s="3" t="n"/>
      <c r="Y13" t="n">
        <v>12</v>
      </c>
      <c r="Z13" s="3" t="n"/>
      <c r="AB13" t="n">
        <v>12</v>
      </c>
      <c r="AC13" s="3" t="n"/>
      <c r="AE13" t="n">
        <v>12</v>
      </c>
      <c r="AF13" s="3" t="n"/>
      <c r="AH13" t="n">
        <v>12</v>
      </c>
      <c r="AI13" s="3" t="n"/>
    </row>
    <row r="14">
      <c r="A14" t="n">
        <v>13</v>
      </c>
      <c r="B14" s="3" t="n">
        <v>1045</v>
      </c>
      <c r="D14" t="n">
        <v>13</v>
      </c>
      <c r="E14" s="3" t="n">
        <v>-120</v>
      </c>
      <c r="G14" t="n">
        <v>13</v>
      </c>
      <c r="H14" s="3" t="n">
        <v>-115</v>
      </c>
      <c r="J14" t="n">
        <v>13</v>
      </c>
      <c r="K14" s="3" t="n"/>
      <c r="M14" t="n">
        <v>13</v>
      </c>
      <c r="N14" s="3" t="n"/>
      <c r="P14" t="n">
        <v>13</v>
      </c>
      <c r="Q14" s="3" t="n"/>
      <c r="S14" t="n">
        <v>13</v>
      </c>
      <c r="T14" s="3" t="n"/>
      <c r="V14" t="n">
        <v>13</v>
      </c>
      <c r="W14" s="3" t="n"/>
      <c r="Y14" t="n">
        <v>13</v>
      </c>
      <c r="Z14" s="3" t="n"/>
      <c r="AB14" t="n">
        <v>13</v>
      </c>
      <c r="AC14" s="3" t="n"/>
      <c r="AE14" t="n">
        <v>13</v>
      </c>
      <c r="AF14" s="3" t="n"/>
      <c r="AH14" t="n">
        <v>13</v>
      </c>
      <c r="AI14" s="3" t="n"/>
    </row>
    <row r="15">
      <c r="A15" t="n">
        <v>14</v>
      </c>
      <c r="B15" s="3" t="n">
        <v>-880</v>
      </c>
      <c r="D15" t="n">
        <v>14</v>
      </c>
      <c r="E15" s="3" t="n"/>
      <c r="G15" t="n">
        <v>14</v>
      </c>
      <c r="H15" s="3" t="n"/>
      <c r="J15" t="n">
        <v>14</v>
      </c>
      <c r="K15" s="3" t="n"/>
      <c r="M15" t="n">
        <v>14</v>
      </c>
      <c r="N15" s="3" t="n"/>
      <c r="P15" t="n">
        <v>14</v>
      </c>
      <c r="Q15" s="3" t="n"/>
      <c r="S15" t="n">
        <v>14</v>
      </c>
      <c r="T15" s="3" t="n"/>
      <c r="V15" t="n">
        <v>14</v>
      </c>
      <c r="W15" s="3" t="n"/>
      <c r="Y15" t="n">
        <v>14</v>
      </c>
      <c r="Z15" s="3" t="n"/>
      <c r="AB15" t="n">
        <v>14</v>
      </c>
      <c r="AC15" s="3" t="n"/>
      <c r="AE15" t="n">
        <v>14</v>
      </c>
      <c r="AF15" s="3" t="n"/>
      <c r="AH15" t="n">
        <v>14</v>
      </c>
      <c r="AI15" s="3" t="n"/>
    </row>
    <row r="16">
      <c r="A16" t="n">
        <v>15</v>
      </c>
      <c r="D16" t="n">
        <v>15</v>
      </c>
      <c r="E16" s="3" t="n"/>
      <c r="G16" t="n">
        <v>15</v>
      </c>
      <c r="H16" s="3" t="n"/>
      <c r="J16" t="n">
        <v>15</v>
      </c>
      <c r="K16" s="3" t="n"/>
      <c r="M16" t="n">
        <v>15</v>
      </c>
      <c r="N16" s="3" t="n"/>
      <c r="P16" t="n">
        <v>15</v>
      </c>
      <c r="Q16" s="3" t="n"/>
      <c r="S16" t="n">
        <v>15</v>
      </c>
      <c r="T16" s="3" t="n"/>
      <c r="V16" t="n">
        <v>15</v>
      </c>
      <c r="W16" s="3" t="n"/>
      <c r="Y16" t="n">
        <v>15</v>
      </c>
      <c r="Z16" s="3" t="n"/>
      <c r="AB16" t="n">
        <v>15</v>
      </c>
      <c r="AC16" s="3" t="n"/>
      <c r="AE16" t="n">
        <v>15</v>
      </c>
      <c r="AF16" s="3" t="n"/>
      <c r="AH16" t="n">
        <v>15</v>
      </c>
      <c r="AI16" s="3" t="n"/>
    </row>
    <row r="17">
      <c r="A17" t="n">
        <v>16</v>
      </c>
      <c r="B17" s="3" t="n">
        <v>616</v>
      </c>
      <c r="D17" t="n">
        <v>16</v>
      </c>
      <c r="E17" s="3" t="n"/>
      <c r="G17" t="n">
        <v>16</v>
      </c>
      <c r="H17" s="3" t="n"/>
      <c r="J17" t="n">
        <v>16</v>
      </c>
      <c r="K17" s="3" t="n"/>
      <c r="M17" t="n">
        <v>16</v>
      </c>
      <c r="N17" s="3" t="n"/>
      <c r="P17" t="n">
        <v>16</v>
      </c>
      <c r="Q17" s="3" t="n"/>
      <c r="S17" t="n">
        <v>16</v>
      </c>
      <c r="T17" s="3" t="n"/>
      <c r="V17" t="n">
        <v>16</v>
      </c>
      <c r="W17" s="3" t="n"/>
      <c r="Y17" t="n">
        <v>16</v>
      </c>
      <c r="Z17" s="3" t="n"/>
      <c r="AB17" t="n">
        <v>16</v>
      </c>
      <c r="AC17" s="3" t="n"/>
      <c r="AE17" t="n">
        <v>16</v>
      </c>
      <c r="AF17" s="3" t="n"/>
      <c r="AH17" t="n">
        <v>16</v>
      </c>
      <c r="AI17" s="3" t="n"/>
    </row>
    <row r="18">
      <c r="A18" t="n">
        <v>17</v>
      </c>
      <c r="D18" t="n">
        <v>17</v>
      </c>
      <c r="E18" s="3" t="n"/>
      <c r="G18" t="n">
        <v>17</v>
      </c>
      <c r="H18" s="3" t="n"/>
      <c r="J18" t="n">
        <v>17</v>
      </c>
      <c r="K18" s="3" t="n"/>
      <c r="M18" t="n">
        <v>17</v>
      </c>
      <c r="N18" s="3" t="n"/>
      <c r="P18" t="n">
        <v>17</v>
      </c>
      <c r="Q18" s="3" t="n"/>
      <c r="S18" t="n">
        <v>17</v>
      </c>
      <c r="T18" s="3" t="n"/>
      <c r="V18" t="n">
        <v>17</v>
      </c>
      <c r="W18" s="3" t="n"/>
      <c r="Y18" t="n">
        <v>17</v>
      </c>
      <c r="Z18" s="3" t="n"/>
      <c r="AB18" t="n">
        <v>17</v>
      </c>
      <c r="AC18" s="3" t="n"/>
      <c r="AE18" t="n">
        <v>17</v>
      </c>
      <c r="AF18" s="3" t="n"/>
      <c r="AH18" t="n">
        <v>17</v>
      </c>
      <c r="AI18" s="3" t="n"/>
    </row>
    <row r="19">
      <c r="A19" t="n">
        <v>18</v>
      </c>
      <c r="D19" t="n">
        <v>18</v>
      </c>
      <c r="E19" s="3" t="n"/>
      <c r="G19" t="n">
        <v>18</v>
      </c>
      <c r="H19" s="3" t="n"/>
      <c r="J19" t="n">
        <v>18</v>
      </c>
      <c r="K19" s="3" t="n"/>
      <c r="M19" t="n">
        <v>18</v>
      </c>
      <c r="N19" s="3" t="n"/>
      <c r="P19" t="n">
        <v>18</v>
      </c>
      <c r="Q19" s="3" t="n"/>
      <c r="S19" t="n">
        <v>18</v>
      </c>
      <c r="T19" s="3" t="n"/>
      <c r="V19" t="n">
        <v>18</v>
      </c>
      <c r="W19" s="3" t="n"/>
      <c r="Y19" t="n">
        <v>18</v>
      </c>
      <c r="Z19" s="3" t="n"/>
      <c r="AB19" t="n">
        <v>18</v>
      </c>
      <c r="AC19" s="3" t="n"/>
      <c r="AE19" t="n">
        <v>18</v>
      </c>
      <c r="AF19" s="3" t="n"/>
      <c r="AH19" t="n">
        <v>18</v>
      </c>
      <c r="AI19" s="3" t="n"/>
    </row>
    <row r="20">
      <c r="A20" t="n">
        <v>19</v>
      </c>
      <c r="D20" t="n">
        <v>19</v>
      </c>
      <c r="E20" s="3" t="n">
        <v>-390</v>
      </c>
      <c r="G20" t="n">
        <v>19</v>
      </c>
      <c r="H20" s="3" t="n"/>
      <c r="J20" t="n">
        <v>19</v>
      </c>
      <c r="K20" s="3" t="n"/>
      <c r="M20" t="n">
        <v>19</v>
      </c>
      <c r="N20" s="3" t="n"/>
      <c r="P20" t="n">
        <v>19</v>
      </c>
      <c r="Q20" s="3" t="n"/>
      <c r="S20" t="n">
        <v>19</v>
      </c>
      <c r="T20" s="3" t="n"/>
      <c r="V20" t="n">
        <v>19</v>
      </c>
      <c r="W20" s="3" t="n"/>
      <c r="Y20" t="n">
        <v>19</v>
      </c>
      <c r="Z20" s="3" t="n"/>
      <c r="AB20" t="n">
        <v>19</v>
      </c>
      <c r="AC20" s="3" t="n"/>
      <c r="AE20" t="n">
        <v>19</v>
      </c>
      <c r="AF20" s="3" t="n"/>
      <c r="AH20" t="n">
        <v>19</v>
      </c>
      <c r="AI20" s="3" t="n"/>
    </row>
    <row r="21">
      <c r="A21" t="n">
        <v>20</v>
      </c>
      <c r="B21" s="3" t="n">
        <v>992</v>
      </c>
      <c r="D21" t="n">
        <v>20</v>
      </c>
      <c r="E21" s="3" t="n"/>
      <c r="G21" t="n">
        <v>20</v>
      </c>
      <c r="H21" s="3" t="n"/>
      <c r="J21" t="n">
        <v>20</v>
      </c>
      <c r="K21" s="3" t="n"/>
      <c r="M21" t="n">
        <v>20</v>
      </c>
      <c r="N21" s="3" t="n"/>
      <c r="P21" t="n">
        <v>20</v>
      </c>
      <c r="Q21" s="3" t="n"/>
      <c r="S21" t="n">
        <v>20</v>
      </c>
      <c r="T21" s="3" t="n"/>
      <c r="V21" t="n">
        <v>20</v>
      </c>
      <c r="W21" s="3" t="n"/>
      <c r="Y21" t="n">
        <v>20</v>
      </c>
      <c r="Z21" s="3" t="n"/>
      <c r="AB21" t="n">
        <v>20</v>
      </c>
      <c r="AC21" s="3" t="n"/>
      <c r="AE21" t="n">
        <v>20</v>
      </c>
      <c r="AF21" s="3" t="n"/>
      <c r="AH21" t="n">
        <v>20</v>
      </c>
      <c r="AI21" s="3" t="n"/>
    </row>
    <row r="22">
      <c r="A22" t="n">
        <v>21</v>
      </c>
      <c r="B22" s="3" t="n">
        <v>-1430</v>
      </c>
      <c r="D22" t="n">
        <v>21</v>
      </c>
      <c r="E22" s="3" t="n"/>
      <c r="G22" t="n">
        <v>21</v>
      </c>
      <c r="H22" s="3" t="n"/>
      <c r="J22" t="n">
        <v>21</v>
      </c>
      <c r="K22" s="3" t="n"/>
      <c r="M22" t="n">
        <v>21</v>
      </c>
      <c r="N22" s="3" t="n"/>
      <c r="P22" t="n">
        <v>21</v>
      </c>
      <c r="Q22" s="3" t="n"/>
      <c r="S22" t="n">
        <v>21</v>
      </c>
      <c r="T22" s="3" t="n"/>
      <c r="V22" t="n">
        <v>21</v>
      </c>
      <c r="W22" s="3" t="n"/>
      <c r="Y22" t="n">
        <v>21</v>
      </c>
      <c r="Z22" s="3" t="n"/>
      <c r="AB22" t="n">
        <v>21</v>
      </c>
      <c r="AC22" s="3" t="n"/>
      <c r="AE22" t="n">
        <v>21</v>
      </c>
      <c r="AF22" s="3" t="n"/>
      <c r="AH22" t="n">
        <v>21</v>
      </c>
      <c r="AI22" s="3" t="n"/>
    </row>
    <row r="23">
      <c r="A23" t="n">
        <v>22</v>
      </c>
      <c r="D23" t="n">
        <v>22</v>
      </c>
      <c r="E23" s="3" t="n"/>
      <c r="G23" t="n">
        <v>22</v>
      </c>
      <c r="H23" s="3" t="n"/>
      <c r="J23" t="n">
        <v>22</v>
      </c>
      <c r="K23" s="3" t="n"/>
      <c r="M23" t="n">
        <v>22</v>
      </c>
      <c r="N23" s="3" t="n"/>
      <c r="P23" t="n">
        <v>22</v>
      </c>
      <c r="Q23" s="3" t="n"/>
      <c r="S23" t="n">
        <v>22</v>
      </c>
      <c r="T23" s="3" t="n"/>
      <c r="V23" t="n">
        <v>22</v>
      </c>
      <c r="W23" s="3" t="n"/>
      <c r="Y23" t="n">
        <v>22</v>
      </c>
      <c r="Z23" s="3" t="n"/>
      <c r="AB23" t="n">
        <v>22</v>
      </c>
      <c r="AC23" s="3" t="n"/>
      <c r="AE23" t="n">
        <v>22</v>
      </c>
      <c r="AF23" s="3" t="n"/>
      <c r="AH23" t="n">
        <v>22</v>
      </c>
      <c r="AI23" s="3" t="n"/>
    </row>
    <row r="24">
      <c r="A24" t="n">
        <v>23</v>
      </c>
      <c r="B24" s="3" t="n">
        <v>1410</v>
      </c>
      <c r="D24" t="n">
        <v>23</v>
      </c>
      <c r="E24" s="3" t="n"/>
      <c r="G24" t="n">
        <v>23</v>
      </c>
      <c r="H24" s="3" t="n"/>
      <c r="J24" t="n">
        <v>23</v>
      </c>
      <c r="K24" s="3" t="n"/>
      <c r="M24" t="n">
        <v>23</v>
      </c>
      <c r="N24" s="3" t="n"/>
      <c r="P24" t="n">
        <v>23</v>
      </c>
      <c r="Q24" s="3" t="n"/>
      <c r="S24" t="n">
        <v>23</v>
      </c>
      <c r="T24" s="3" t="n"/>
      <c r="V24" t="n">
        <v>23</v>
      </c>
      <c r="W24" s="3" t="n"/>
      <c r="Y24" t="n">
        <v>23</v>
      </c>
      <c r="Z24" s="3" t="n"/>
      <c r="AB24" t="n">
        <v>23</v>
      </c>
      <c r="AC24" s="3" t="n"/>
      <c r="AE24" t="n">
        <v>23</v>
      </c>
      <c r="AF24" s="3" t="n"/>
      <c r="AH24" t="n">
        <v>23</v>
      </c>
      <c r="AI24" s="3" t="n"/>
    </row>
    <row r="25">
      <c r="A25" t="n">
        <v>24</v>
      </c>
      <c r="D25" t="n">
        <v>24</v>
      </c>
      <c r="E25" s="3" t="n"/>
      <c r="G25" t="n">
        <v>24</v>
      </c>
      <c r="H25" s="3" t="n">
        <v>820</v>
      </c>
      <c r="J25" t="n">
        <v>24</v>
      </c>
      <c r="K25" s="3" t="n"/>
      <c r="M25" t="n">
        <v>24</v>
      </c>
      <c r="N25" s="3" t="n"/>
      <c r="P25" t="n">
        <v>24</v>
      </c>
      <c r="Q25" s="3" t="n"/>
      <c r="S25" t="n">
        <v>24</v>
      </c>
      <c r="T25" s="3" t="n"/>
      <c r="V25" t="n">
        <v>24</v>
      </c>
      <c r="W25" s="3" t="n"/>
      <c r="Y25" t="n">
        <v>24</v>
      </c>
      <c r="Z25" s="3" t="n"/>
      <c r="AB25" t="n">
        <v>24</v>
      </c>
      <c r="AC25" s="3" t="n"/>
      <c r="AE25" t="n">
        <v>24</v>
      </c>
      <c r="AF25" s="3" t="n"/>
      <c r="AH25" t="n">
        <v>24</v>
      </c>
      <c r="AI25" s="3" t="n"/>
    </row>
    <row r="26">
      <c r="A26" t="n">
        <v>25</v>
      </c>
      <c r="D26" t="n">
        <v>25</v>
      </c>
      <c r="E26" s="3" t="n"/>
      <c r="G26" t="n">
        <v>25</v>
      </c>
      <c r="H26" s="3" t="n"/>
      <c r="J26" t="n">
        <v>25</v>
      </c>
      <c r="K26" s="3" t="n"/>
      <c r="M26" t="n">
        <v>25</v>
      </c>
      <c r="N26" s="3" t="n"/>
      <c r="P26" t="n">
        <v>25</v>
      </c>
      <c r="Q26" s="3" t="n"/>
      <c r="S26" t="n">
        <v>25</v>
      </c>
      <c r="T26" s="3" t="n"/>
      <c r="V26" t="n">
        <v>25</v>
      </c>
      <c r="W26" s="3" t="n"/>
      <c r="Y26" t="n">
        <v>25</v>
      </c>
      <c r="Z26" s="3" t="n"/>
      <c r="AB26" t="n">
        <v>25</v>
      </c>
      <c r="AC26" s="3" t="n"/>
      <c r="AE26" t="n">
        <v>25</v>
      </c>
      <c r="AF26" s="3" t="n"/>
      <c r="AH26" t="n">
        <v>25</v>
      </c>
      <c r="AI26" s="3" t="n"/>
    </row>
    <row r="27">
      <c r="A27" t="n">
        <v>26</v>
      </c>
      <c r="D27" t="n">
        <v>26</v>
      </c>
      <c r="E27" s="3" t="n"/>
      <c r="G27" t="n">
        <v>26</v>
      </c>
      <c r="H27" s="3" t="n"/>
      <c r="J27" t="n">
        <v>26</v>
      </c>
      <c r="K27" s="3" t="n"/>
      <c r="M27" t="n">
        <v>26</v>
      </c>
      <c r="N27" s="3" t="n"/>
      <c r="P27" t="n">
        <v>26</v>
      </c>
      <c r="Q27" s="3" t="n"/>
      <c r="S27" t="n">
        <v>26</v>
      </c>
      <c r="T27" s="3" t="n"/>
      <c r="V27" t="n">
        <v>26</v>
      </c>
      <c r="W27" s="3" t="n"/>
      <c r="Y27" t="n">
        <v>26</v>
      </c>
      <c r="Z27" s="3" t="n"/>
      <c r="AB27" t="n">
        <v>26</v>
      </c>
      <c r="AC27" s="3" t="n"/>
      <c r="AE27" t="n">
        <v>26</v>
      </c>
      <c r="AF27" s="3" t="n"/>
      <c r="AH27" t="n">
        <v>26</v>
      </c>
      <c r="AI27" s="3" t="n"/>
    </row>
    <row r="28">
      <c r="A28" t="n">
        <v>27</v>
      </c>
      <c r="D28" t="n">
        <v>27</v>
      </c>
      <c r="E28" s="3" t="n"/>
      <c r="G28" t="n">
        <v>27</v>
      </c>
      <c r="H28" s="3" t="n"/>
      <c r="J28" t="n">
        <v>27</v>
      </c>
      <c r="K28" s="3" t="n"/>
      <c r="M28" t="n">
        <v>27</v>
      </c>
      <c r="N28" s="3" t="n"/>
      <c r="P28" t="n">
        <v>27</v>
      </c>
      <c r="Q28" s="3" t="n"/>
      <c r="S28" t="n">
        <v>27</v>
      </c>
      <c r="T28" s="3" t="n"/>
      <c r="V28" t="n">
        <v>27</v>
      </c>
      <c r="W28" s="3" t="n"/>
      <c r="Y28" t="n">
        <v>27</v>
      </c>
      <c r="Z28" s="3" t="n"/>
      <c r="AB28" t="n">
        <v>27</v>
      </c>
      <c r="AC28" s="3" t="n"/>
      <c r="AE28" t="n">
        <v>27</v>
      </c>
      <c r="AF28" s="3" t="n"/>
      <c r="AH28" t="n">
        <v>27</v>
      </c>
      <c r="AI28" s="3" t="n"/>
    </row>
    <row r="29">
      <c r="A29" t="n">
        <v>28</v>
      </c>
      <c r="D29" t="n">
        <v>28</v>
      </c>
      <c r="E29" s="3" t="n"/>
      <c r="G29" t="n">
        <v>28</v>
      </c>
      <c r="H29" s="3" t="n"/>
      <c r="J29" t="n">
        <v>28</v>
      </c>
      <c r="K29" s="3" t="n"/>
      <c r="M29" t="n">
        <v>28</v>
      </c>
      <c r="N29" s="3" t="n"/>
      <c r="P29" t="n">
        <v>28</v>
      </c>
      <c r="Q29" s="3" t="n"/>
      <c r="S29" t="n">
        <v>28</v>
      </c>
      <c r="T29" s="3" t="n"/>
      <c r="V29" t="n">
        <v>28</v>
      </c>
      <c r="W29" s="3" t="n"/>
      <c r="Y29" t="n">
        <v>28</v>
      </c>
      <c r="Z29" s="3" t="n"/>
      <c r="AB29" t="n">
        <v>28</v>
      </c>
      <c r="AC29" s="3" t="n"/>
      <c r="AE29" t="n">
        <v>28</v>
      </c>
      <c r="AF29" s="3" t="n"/>
      <c r="AH29" t="n">
        <v>28</v>
      </c>
      <c r="AI29" s="3" t="n"/>
    </row>
    <row r="30">
      <c r="A30" t="n">
        <v>29</v>
      </c>
      <c r="B30" s="3" t="n">
        <v>-1025</v>
      </c>
      <c r="D30" t="n">
        <v>29</v>
      </c>
      <c r="E30" s="3" t="n"/>
      <c r="G30" t="n">
        <v>29</v>
      </c>
      <c r="H30" s="3" t="n"/>
      <c r="J30" t="n">
        <v>29</v>
      </c>
      <c r="K30" s="3" t="n"/>
      <c r="M30" t="n">
        <v>29</v>
      </c>
      <c r="N30" s="3" t="n"/>
      <c r="P30" t="n">
        <v>29</v>
      </c>
      <c r="Q30" s="3" t="n"/>
      <c r="S30" t="n">
        <v>29</v>
      </c>
      <c r="T30" s="3" t="n"/>
      <c r="V30" t="n">
        <v>29</v>
      </c>
      <c r="W30" s="3" t="n"/>
      <c r="Y30" t="n">
        <v>29</v>
      </c>
      <c r="Z30" s="3" t="n"/>
      <c r="AB30" t="n">
        <v>29</v>
      </c>
      <c r="AC30" s="3" t="n"/>
      <c r="AE30" t="n">
        <v>29</v>
      </c>
      <c r="AF30" s="3" t="n"/>
      <c r="AH30" t="n">
        <v>29</v>
      </c>
      <c r="AI30" s="3" t="n"/>
    </row>
    <row r="31">
      <c r="A31" t="n">
        <v>30</v>
      </c>
      <c r="D31" t="n">
        <v>30</v>
      </c>
      <c r="E31" s="3" t="n"/>
      <c r="G31" t="n">
        <v>30</v>
      </c>
      <c r="H31" s="3" t="n"/>
      <c r="J31" t="n">
        <v>30</v>
      </c>
      <c r="K31" s="3" t="n"/>
      <c r="M31" t="n">
        <v>30</v>
      </c>
      <c r="N31" s="3" t="n"/>
      <c r="P31" t="n">
        <v>30</v>
      </c>
      <c r="S31" t="n">
        <v>30</v>
      </c>
      <c r="V31" t="n">
        <v>30</v>
      </c>
      <c r="Y31" t="n">
        <v>30</v>
      </c>
      <c r="AB31" t="n">
        <v>30</v>
      </c>
      <c r="AC31" s="3" t="n"/>
      <c r="AE31" t="n">
        <v>30</v>
      </c>
      <c r="AF31" s="3" t="n"/>
      <c r="AH31" t="n">
        <v>30</v>
      </c>
      <c r="AI31" s="3" t="n"/>
    </row>
    <row r="32">
      <c r="A32" t="n">
        <v>31</v>
      </c>
      <c r="D32" t="n">
        <v>31</v>
      </c>
      <c r="E32" s="3" t="n"/>
      <c r="G32" t="n">
        <v>31</v>
      </c>
      <c r="H32" s="3" t="n"/>
      <c r="J32" t="n">
        <v>31</v>
      </c>
      <c r="K32" s="3" t="n"/>
      <c r="M32" t="n">
        <v>31</v>
      </c>
      <c r="N32" s="3" t="n"/>
      <c r="P32" t="n">
        <v>31</v>
      </c>
      <c r="S32" t="n">
        <v>31</v>
      </c>
      <c r="V32" t="n">
        <v>31</v>
      </c>
      <c r="Y32" t="n">
        <v>31</v>
      </c>
      <c r="AB32" t="n">
        <v>31</v>
      </c>
      <c r="AC32" s="3" t="n"/>
      <c r="AE32" t="n">
        <v>31</v>
      </c>
      <c r="AF32" s="3" t="n"/>
      <c r="AH32" t="n">
        <v>31</v>
      </c>
      <c r="AI32" s="3" t="n"/>
    </row>
    <row r="33">
      <c r="E33" s="3" t="n"/>
      <c r="H33" s="3" t="n"/>
    </row>
    <row r="34">
      <c r="E34" s="3" t="n"/>
      <c r="H34" s="3" t="n"/>
    </row>
    <row r="35">
      <c r="A35" t="inlineStr">
        <is>
          <t>Total</t>
        </is>
      </c>
      <c r="B35" s="3">
        <f>SUM(B2:B34)</f>
        <v/>
      </c>
      <c r="E35" s="3">
        <f>SUM(E2:E27)</f>
        <v/>
      </c>
      <c r="H35" s="3">
        <f>SUM(H2:H34)</f>
        <v/>
      </c>
      <c r="K35" s="3">
        <f>SUM(K2:K34)</f>
        <v/>
      </c>
      <c r="N35" s="3">
        <f>SUM(N2:N34)</f>
        <v/>
      </c>
      <c r="Q35" s="3">
        <f>SUM(Q2:Q34)</f>
        <v/>
      </c>
      <c r="T35" s="3">
        <f>SUM(T2:T34)</f>
        <v/>
      </c>
      <c r="W35" s="3">
        <f>SUM(W2:W34)</f>
        <v/>
      </c>
      <c r="Z35" s="3">
        <f>SUM(Z2:Z34)</f>
        <v/>
      </c>
      <c r="AC35" s="3">
        <f>SUM(AC2:AC34)</f>
        <v/>
      </c>
      <c r="AF35" s="3">
        <f>SUM(AF2:AF34)</f>
        <v/>
      </c>
      <c r="AI35" s="3">
        <f>SUM(AI2:AI34)</f>
        <v/>
      </c>
    </row>
  </sheetData>
  <mergeCells count="3">
    <mergeCell ref="D1:E1"/>
    <mergeCell ref="G1:H1"/>
    <mergeCell ref="A1:B1"/>
  </mergeCells>
  <conditionalFormatting sqref="B2:B32">
    <cfRule type="cellIs" priority="43" operator="lessThan" dxfId="1">
      <formula>0</formula>
    </cfRule>
    <cfRule type="cellIs" priority="44" operator="greaterThan" dxfId="0">
      <formula>0</formula>
    </cfRule>
  </conditionalFormatting>
  <conditionalFormatting sqref="B35">
    <cfRule type="cellIs" priority="42" operator="greaterThan" dxfId="0">
      <formula>0</formula>
    </cfRule>
    <cfRule type="cellIs" priority="41" operator="lessThan" dxfId="1">
      <formula>0</formula>
    </cfRule>
  </conditionalFormatting>
  <conditionalFormatting sqref="E2:E35">
    <cfRule type="cellIs" priority="39" operator="lessThan" dxfId="1">
      <formula>0</formula>
    </cfRule>
    <cfRule type="cellIs" priority="40" operator="greaterThan" dxfId="0">
      <formula>0</formula>
    </cfRule>
  </conditionalFormatting>
  <conditionalFormatting sqref="H2:H35">
    <cfRule type="cellIs" priority="34" operator="greaterThan" dxfId="0">
      <formula>0</formula>
    </cfRule>
    <cfRule type="cellIs" priority="33" operator="lessThan" dxfId="1">
      <formula>0</formula>
    </cfRule>
  </conditionalFormatting>
  <conditionalFormatting sqref="K2:K32">
    <cfRule type="cellIs" priority="38" operator="greaterThan" dxfId="0">
      <formula>0</formula>
    </cfRule>
    <cfRule type="cellIs" priority="37" operator="lessThan" dxfId="1">
      <formula>0</formula>
    </cfRule>
  </conditionalFormatting>
  <conditionalFormatting sqref="K35">
    <cfRule type="cellIs" priority="36" operator="greaterThan" dxfId="0">
      <formula>0</formula>
    </cfRule>
    <cfRule type="cellIs" priority="35" operator="lessThan" dxfId="1">
      <formula>0</formula>
    </cfRule>
  </conditionalFormatting>
  <conditionalFormatting sqref="N2:N32">
    <cfRule type="cellIs" priority="32" operator="greaterThan" dxfId="0">
      <formula>0</formula>
    </cfRule>
    <cfRule type="cellIs" priority="31" operator="lessThan" dxfId="1">
      <formula>0</formula>
    </cfRule>
  </conditionalFormatting>
  <conditionalFormatting sqref="N35">
    <cfRule type="cellIs" priority="30" operator="greaterThan" dxfId="0">
      <formula>0</formula>
    </cfRule>
    <cfRule type="cellIs" priority="29" operator="lessThan" dxfId="1">
      <formula>0</formula>
    </cfRule>
  </conditionalFormatting>
  <conditionalFormatting sqref="Q2:Q30">
    <cfRule type="cellIs" priority="28" operator="greaterThan" dxfId="0">
      <formula>0</formula>
    </cfRule>
    <cfRule type="cellIs" priority="27" operator="lessThan" dxfId="1">
      <formula>0</formula>
    </cfRule>
  </conditionalFormatting>
  <conditionalFormatting sqref="Q35">
    <cfRule type="cellIs" priority="26" operator="greaterThan" dxfId="0">
      <formula>0</formula>
    </cfRule>
    <cfRule type="cellIs" priority="25" operator="lessThan" dxfId="1">
      <formula>0</formula>
    </cfRule>
  </conditionalFormatting>
  <conditionalFormatting sqref="T2:T30">
    <cfRule type="cellIs" priority="23" operator="lessThan" dxfId="1">
      <formula>0</formula>
    </cfRule>
    <cfRule type="cellIs" priority="24" operator="greaterThan" dxfId="0">
      <formula>0</formula>
    </cfRule>
  </conditionalFormatting>
  <conditionalFormatting sqref="T35">
    <cfRule type="cellIs" priority="22" operator="greaterThan" dxfId="0">
      <formula>0</formula>
    </cfRule>
    <cfRule type="cellIs" priority="21" operator="lessThan" dxfId="1">
      <formula>0</formula>
    </cfRule>
  </conditionalFormatting>
  <conditionalFormatting sqref="W2:W30">
    <cfRule type="cellIs" priority="20" operator="greaterThan" dxfId="0">
      <formula>0</formula>
    </cfRule>
    <cfRule type="cellIs" priority="19" operator="lessThan" dxfId="1">
      <formula>0</formula>
    </cfRule>
  </conditionalFormatting>
  <conditionalFormatting sqref="W35">
    <cfRule type="cellIs" priority="18" operator="greaterThan" dxfId="0">
      <formula>0</formula>
    </cfRule>
    <cfRule type="cellIs" priority="17" operator="lessThan" dxfId="1">
      <formula>0</formula>
    </cfRule>
  </conditionalFormatting>
  <conditionalFormatting sqref="Z2:Z30">
    <cfRule type="cellIs" priority="16" operator="greaterThan" dxfId="0">
      <formula>0</formula>
    </cfRule>
    <cfRule type="cellIs" priority="15" operator="lessThan" dxfId="1">
      <formula>0</formula>
    </cfRule>
  </conditionalFormatting>
  <conditionalFormatting sqref="Z35">
    <cfRule type="cellIs" priority="14" operator="greaterThan" dxfId="0">
      <formula>0</formula>
    </cfRule>
    <cfRule type="cellIs" priority="13" operator="lessThan" dxfId="1">
      <formula>0</formula>
    </cfRule>
  </conditionalFormatting>
  <conditionalFormatting sqref="AC2:AC32">
    <cfRule type="cellIs" priority="11" operator="lessThan" dxfId="1">
      <formula>0</formula>
    </cfRule>
    <cfRule type="cellIs" priority="12" operator="greaterThan" dxfId="0">
      <formula>0</formula>
    </cfRule>
  </conditionalFormatting>
  <conditionalFormatting sqref="AC35">
    <cfRule type="cellIs" priority="10" operator="greaterThan" dxfId="0">
      <formula>0</formula>
    </cfRule>
    <cfRule type="cellIs" priority="9" operator="lessThan" dxfId="1">
      <formula>0</formula>
    </cfRule>
  </conditionalFormatting>
  <conditionalFormatting sqref="AF2:AF32">
    <cfRule type="cellIs" priority="8" operator="greaterThan" dxfId="0">
      <formula>0</formula>
    </cfRule>
    <cfRule type="cellIs" priority="7" operator="lessThan" dxfId="1">
      <formula>0</formula>
    </cfRule>
  </conditionalFormatting>
  <conditionalFormatting sqref="AF35">
    <cfRule type="cellIs" priority="6" operator="greaterThan" dxfId="0">
      <formula>0</formula>
    </cfRule>
    <cfRule type="cellIs" priority="5" operator="lessThan" dxfId="1">
      <formula>0</formula>
    </cfRule>
  </conditionalFormatting>
  <conditionalFormatting sqref="AI2:AI32">
    <cfRule type="cellIs" priority="4" operator="greaterThan" dxfId="0">
      <formula>0</formula>
    </cfRule>
    <cfRule type="cellIs" priority="3" operator="lessThan" dxfId="1">
      <formula>0</formula>
    </cfRule>
  </conditionalFormatting>
  <conditionalFormatting sqref="AI35">
    <cfRule type="cellIs" priority="2" operator="greaterThan" dxfId="0">
      <formula>0</formula>
    </cfRule>
    <cfRule type="cellIs" priority="1" operator="lessThan" dxfId="1">
      <formula>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selection activeCell="B35" sqref="B35:H36"/>
    </sheetView>
  </sheetViews>
  <sheetFormatPr baseColWidth="8" defaultRowHeight="15"/>
  <cols>
    <col width="18.42578125" customWidth="1" min="1" max="1"/>
    <col width="15.42578125" customWidth="1" style="3" min="2" max="2"/>
    <col width="11.5703125" customWidth="1" min="4" max="4"/>
    <col width="12.5703125" customWidth="1" min="5" max="5"/>
    <col width="11.5703125" customWidth="1" min="7" max="7"/>
    <col width="12.5703125" customWidth="1" min="8" max="8"/>
    <col width="11.5703125" customWidth="1" min="10" max="10"/>
    <col width="10.140625" bestFit="1" customWidth="1" min="11" max="11"/>
    <col width="10.42578125" bestFit="1" customWidth="1" min="13" max="13"/>
    <col width="10.85546875" bestFit="1" customWidth="1" min="14" max="14"/>
    <col width="10.85546875" bestFit="1" customWidth="1" min="17" max="17"/>
    <col width="10.85546875" bestFit="1" customWidth="1" min="20" max="20"/>
    <col width="10.85546875" bestFit="1" customWidth="1" min="23" max="23"/>
    <col width="10.85546875" bestFit="1" customWidth="1" min="26" max="26"/>
    <col width="10.85546875" bestFit="1" customWidth="1" min="29" max="29"/>
    <col width="10.85546875" bestFit="1" customWidth="1" min="32" max="32"/>
    <col width="10.140625" bestFit="1" customWidth="1" min="35" max="35"/>
  </cols>
  <sheetData>
    <row r="1" customFormat="1" s="2">
      <c r="A1" s="9" t="inlineStr">
        <is>
          <t>January</t>
        </is>
      </c>
      <c r="D1" s="9" t="inlineStr">
        <is>
          <t>February</t>
        </is>
      </c>
      <c r="G1" s="9" t="inlineStr">
        <is>
          <t>March</t>
        </is>
      </c>
      <c r="J1" s="2" t="inlineStr">
        <is>
          <t>April</t>
        </is>
      </c>
      <c r="M1" s="2" t="inlineStr">
        <is>
          <t>May</t>
        </is>
      </c>
      <c r="P1" s="2" t="inlineStr">
        <is>
          <t>Jun</t>
        </is>
      </c>
      <c r="S1" s="2" t="inlineStr">
        <is>
          <t>Jul</t>
        </is>
      </c>
      <c r="V1" s="2" t="inlineStr">
        <is>
          <t>Aug</t>
        </is>
      </c>
      <c r="Y1" s="2" t="inlineStr">
        <is>
          <t>Sep</t>
        </is>
      </c>
      <c r="AB1" s="2" t="inlineStr">
        <is>
          <t>Oct</t>
        </is>
      </c>
      <c r="AE1" s="2" t="inlineStr">
        <is>
          <t>Nov</t>
        </is>
      </c>
      <c r="AH1" s="2" t="inlineStr">
        <is>
          <t>Dec</t>
        </is>
      </c>
    </row>
    <row r="2">
      <c r="A2" t="n">
        <v>1</v>
      </c>
      <c r="D2" t="n">
        <v>1</v>
      </c>
      <c r="E2" s="3" t="n"/>
      <c r="G2" t="n">
        <v>1</v>
      </c>
      <c r="H2" s="3" t="n"/>
      <c r="J2" t="n">
        <v>1</v>
      </c>
      <c r="K2" s="3" t="n"/>
      <c r="M2" t="n">
        <v>1</v>
      </c>
      <c r="N2" s="3" t="n"/>
      <c r="P2" t="n">
        <v>1</v>
      </c>
      <c r="Q2" s="3" t="n"/>
      <c r="S2" t="n">
        <v>1</v>
      </c>
      <c r="T2" s="3" t="n"/>
      <c r="V2" t="n">
        <v>1</v>
      </c>
      <c r="W2" s="3" t="n"/>
      <c r="Y2" t="n">
        <v>1</v>
      </c>
      <c r="Z2" s="3" t="n"/>
      <c r="AB2" t="n">
        <v>1</v>
      </c>
      <c r="AC2" s="3" t="n"/>
      <c r="AE2" t="n">
        <v>1</v>
      </c>
      <c r="AF2" s="3" t="n"/>
      <c r="AH2" t="n">
        <v>1</v>
      </c>
      <c r="AI2" s="3" t="n"/>
    </row>
    <row r="3">
      <c r="A3" t="n">
        <v>2</v>
      </c>
      <c r="B3" s="3" t="n">
        <v>-1531</v>
      </c>
      <c r="D3" t="n">
        <v>2</v>
      </c>
      <c r="E3" s="3" t="n"/>
      <c r="G3" t="n">
        <v>2</v>
      </c>
      <c r="H3" s="3" t="n"/>
      <c r="J3" t="n">
        <v>2</v>
      </c>
      <c r="K3" s="3" t="n"/>
      <c r="M3" t="n">
        <v>2</v>
      </c>
      <c r="N3" s="3" t="n"/>
      <c r="P3" t="n">
        <v>2</v>
      </c>
      <c r="Q3" s="3" t="n"/>
      <c r="S3" t="n">
        <v>2</v>
      </c>
      <c r="T3" s="3" t="n"/>
      <c r="V3" t="n">
        <v>2</v>
      </c>
      <c r="W3" s="3" t="n"/>
      <c r="Y3" t="n">
        <v>2</v>
      </c>
      <c r="Z3" s="3" t="n"/>
      <c r="AB3" t="n">
        <v>2</v>
      </c>
      <c r="AC3" s="3" t="n"/>
      <c r="AE3" t="n">
        <v>2</v>
      </c>
      <c r="AF3" s="3" t="n"/>
      <c r="AH3" t="n">
        <v>2</v>
      </c>
      <c r="AI3" s="3" t="n"/>
    </row>
    <row r="4">
      <c r="A4" t="n">
        <v>3</v>
      </c>
      <c r="D4" t="n">
        <v>3</v>
      </c>
      <c r="E4" s="3" t="n"/>
      <c r="G4" t="n">
        <v>3</v>
      </c>
      <c r="H4" s="3" t="n"/>
      <c r="J4" t="n">
        <v>3</v>
      </c>
      <c r="K4" s="3" t="n"/>
      <c r="M4" t="n">
        <v>3</v>
      </c>
      <c r="N4" s="3" t="n"/>
      <c r="P4" t="n">
        <v>3</v>
      </c>
      <c r="Q4" s="3" t="n"/>
      <c r="S4" t="n">
        <v>3</v>
      </c>
      <c r="T4" s="3" t="n"/>
      <c r="V4" t="n">
        <v>3</v>
      </c>
      <c r="W4" s="3" t="n"/>
      <c r="Y4" t="n">
        <v>3</v>
      </c>
      <c r="Z4" s="3" t="n"/>
      <c r="AB4" t="n">
        <v>3</v>
      </c>
      <c r="AC4" s="3" t="n"/>
      <c r="AE4" t="n">
        <v>3</v>
      </c>
      <c r="AF4" s="3" t="n"/>
      <c r="AH4" t="n">
        <v>3</v>
      </c>
      <c r="AI4" s="3" t="n"/>
    </row>
    <row r="5">
      <c r="A5" t="n">
        <v>4</v>
      </c>
      <c r="D5" t="n">
        <v>4</v>
      </c>
      <c r="E5" s="3" t="n"/>
      <c r="G5" t="n">
        <v>4</v>
      </c>
      <c r="H5" s="3" t="n"/>
      <c r="J5" t="n">
        <v>4</v>
      </c>
      <c r="K5" s="3" t="n"/>
      <c r="M5" t="n">
        <v>4</v>
      </c>
      <c r="N5" s="3" t="n"/>
      <c r="P5" t="n">
        <v>4</v>
      </c>
      <c r="Q5" s="3" t="n"/>
      <c r="S5" t="n">
        <v>4</v>
      </c>
      <c r="T5" s="3" t="n"/>
      <c r="V5" t="n">
        <v>4</v>
      </c>
      <c r="W5" s="3" t="n"/>
      <c r="Y5" t="n">
        <v>4</v>
      </c>
      <c r="Z5" s="3" t="n"/>
      <c r="AB5" t="n">
        <v>4</v>
      </c>
      <c r="AC5" s="3" t="n"/>
      <c r="AE5" t="n">
        <v>4</v>
      </c>
      <c r="AF5" s="3" t="n"/>
      <c r="AH5" t="n">
        <v>4</v>
      </c>
      <c r="AI5" s="3" t="n"/>
    </row>
    <row r="6">
      <c r="A6" t="n">
        <v>5</v>
      </c>
      <c r="D6" t="n">
        <v>5</v>
      </c>
      <c r="E6" s="3" t="n"/>
      <c r="G6" t="n">
        <v>5</v>
      </c>
      <c r="H6" s="3" t="n"/>
      <c r="J6" t="n">
        <v>5</v>
      </c>
      <c r="K6" s="3" t="n"/>
      <c r="M6" t="n">
        <v>5</v>
      </c>
      <c r="N6" s="3" t="n"/>
      <c r="P6" t="n">
        <v>5</v>
      </c>
      <c r="Q6" s="3" t="n"/>
      <c r="S6" t="n">
        <v>5</v>
      </c>
      <c r="T6" s="3" t="n"/>
      <c r="V6" t="n">
        <v>5</v>
      </c>
      <c r="W6" s="3" t="n"/>
      <c r="Y6" t="n">
        <v>5</v>
      </c>
      <c r="Z6" s="3" t="n"/>
      <c r="AB6" t="n">
        <v>5</v>
      </c>
      <c r="AC6" s="3" t="n"/>
      <c r="AE6" t="n">
        <v>5</v>
      </c>
      <c r="AF6" s="3" t="n"/>
      <c r="AH6" t="n">
        <v>5</v>
      </c>
      <c r="AI6" s="3" t="n"/>
    </row>
    <row r="7">
      <c r="A7" t="n">
        <v>6</v>
      </c>
      <c r="D7" t="n">
        <v>6</v>
      </c>
      <c r="E7" s="3" t="n">
        <v>-9255</v>
      </c>
      <c r="G7" t="n">
        <v>6</v>
      </c>
      <c r="H7" s="3" t="n">
        <v>1409</v>
      </c>
      <c r="J7" t="n">
        <v>6</v>
      </c>
      <c r="K7" s="3" t="n"/>
      <c r="M7" t="n">
        <v>6</v>
      </c>
      <c r="N7" s="3" t="n"/>
      <c r="P7" t="n">
        <v>6</v>
      </c>
      <c r="Q7" s="3" t="n"/>
      <c r="S7" t="n">
        <v>6</v>
      </c>
      <c r="T7" s="3" t="n"/>
      <c r="V7" t="n">
        <v>6</v>
      </c>
      <c r="W7" s="3" t="n"/>
      <c r="Y7" t="n">
        <v>6</v>
      </c>
      <c r="Z7" s="3" t="n"/>
      <c r="AB7" t="n">
        <v>6</v>
      </c>
      <c r="AC7" s="3" t="n"/>
      <c r="AE7" t="n">
        <v>6</v>
      </c>
      <c r="AF7" s="3" t="n"/>
      <c r="AH7" t="n">
        <v>6</v>
      </c>
      <c r="AI7" s="3" t="n"/>
    </row>
    <row r="8">
      <c r="A8" t="n">
        <v>7</v>
      </c>
      <c r="D8" t="n">
        <v>7</v>
      </c>
      <c r="E8" s="3" t="n"/>
      <c r="G8" t="n">
        <v>7</v>
      </c>
      <c r="H8" s="3" t="n"/>
      <c r="J8" t="n">
        <v>7</v>
      </c>
      <c r="K8" s="3" t="n"/>
      <c r="M8" t="n">
        <v>7</v>
      </c>
      <c r="N8" s="3" t="n"/>
      <c r="P8" t="n">
        <v>7</v>
      </c>
      <c r="Q8" s="3" t="n"/>
      <c r="S8" t="n">
        <v>7</v>
      </c>
      <c r="T8" s="3" t="n"/>
      <c r="V8" t="n">
        <v>7</v>
      </c>
      <c r="W8" s="3" t="n"/>
      <c r="Y8" t="n">
        <v>7</v>
      </c>
      <c r="Z8" s="3" t="n"/>
      <c r="AB8" t="n">
        <v>7</v>
      </c>
      <c r="AC8" s="3" t="n"/>
      <c r="AE8" t="n">
        <v>7</v>
      </c>
      <c r="AF8" s="3" t="n"/>
      <c r="AH8" t="n">
        <v>7</v>
      </c>
      <c r="AI8" s="3" t="n"/>
    </row>
    <row r="9">
      <c r="A9" t="n">
        <v>8</v>
      </c>
      <c r="D9" t="n">
        <v>8</v>
      </c>
      <c r="E9" s="3" t="n"/>
      <c r="G9" t="n">
        <v>8</v>
      </c>
      <c r="H9" s="3" t="n"/>
      <c r="J9" t="n">
        <v>8</v>
      </c>
      <c r="K9" s="3" t="n"/>
      <c r="M9" t="n">
        <v>8</v>
      </c>
      <c r="N9" s="3" t="n"/>
      <c r="P9" t="n">
        <v>8</v>
      </c>
      <c r="Q9" s="3" t="n"/>
      <c r="S9" t="n">
        <v>8</v>
      </c>
      <c r="T9" s="3" t="n"/>
      <c r="V9" t="n">
        <v>8</v>
      </c>
      <c r="W9" s="3" t="n"/>
      <c r="Y9" t="n">
        <v>8</v>
      </c>
      <c r="Z9" s="3" t="n"/>
      <c r="AB9" t="n">
        <v>8</v>
      </c>
      <c r="AC9" s="3" t="n"/>
      <c r="AE9" t="n">
        <v>8</v>
      </c>
      <c r="AF9" s="3" t="n"/>
      <c r="AH9" t="n">
        <v>8</v>
      </c>
      <c r="AI9" s="3" t="n"/>
    </row>
    <row r="10">
      <c r="A10" t="n">
        <v>9</v>
      </c>
      <c r="B10" s="3" t="n">
        <v>2936</v>
      </c>
      <c r="D10" t="n">
        <v>9</v>
      </c>
      <c r="E10" s="3" t="n"/>
      <c r="G10" t="n">
        <v>9</v>
      </c>
      <c r="H10" s="3" t="n"/>
      <c r="J10" t="n">
        <v>9</v>
      </c>
      <c r="K10" s="3" t="n"/>
      <c r="M10" t="n">
        <v>9</v>
      </c>
      <c r="N10" s="3" t="n"/>
      <c r="P10" t="n">
        <v>9</v>
      </c>
      <c r="Q10" s="3" t="n"/>
      <c r="S10" t="n">
        <v>9</v>
      </c>
      <c r="T10" s="3" t="n"/>
      <c r="V10" t="n">
        <v>9</v>
      </c>
      <c r="W10" s="3" t="n"/>
      <c r="Y10" t="n">
        <v>9</v>
      </c>
      <c r="Z10" s="3" t="n"/>
      <c r="AB10" t="n">
        <v>9</v>
      </c>
      <c r="AC10" s="3" t="n"/>
      <c r="AE10" t="n">
        <v>9</v>
      </c>
      <c r="AF10" s="3" t="n"/>
      <c r="AH10" t="n">
        <v>9</v>
      </c>
      <c r="AI10" s="3" t="n"/>
    </row>
    <row r="11">
      <c r="A11" t="n">
        <v>10</v>
      </c>
      <c r="D11" t="n">
        <v>10</v>
      </c>
      <c r="E11" s="3" t="n"/>
      <c r="G11" t="n">
        <v>10</v>
      </c>
      <c r="H11" s="3" t="n"/>
      <c r="J11" t="n">
        <v>10</v>
      </c>
      <c r="K11" s="3" t="n"/>
      <c r="M11" t="n">
        <v>10</v>
      </c>
      <c r="N11" s="3" t="n"/>
      <c r="P11" t="n">
        <v>10</v>
      </c>
      <c r="Q11" s="3" t="n"/>
      <c r="S11" t="n">
        <v>10</v>
      </c>
      <c r="T11" s="3" t="n"/>
      <c r="V11" t="n">
        <v>10</v>
      </c>
      <c r="W11" s="3" t="n"/>
      <c r="Y11" t="n">
        <v>10</v>
      </c>
      <c r="Z11" s="3" t="n"/>
      <c r="AB11" t="n">
        <v>10</v>
      </c>
      <c r="AC11" s="3" t="n"/>
      <c r="AE11" t="n">
        <v>10</v>
      </c>
      <c r="AF11" s="3" t="n"/>
      <c r="AH11" t="n">
        <v>10</v>
      </c>
      <c r="AI11" s="3" t="n"/>
    </row>
    <row r="12">
      <c r="A12" t="n">
        <v>11</v>
      </c>
      <c r="D12" t="n">
        <v>11</v>
      </c>
      <c r="E12" s="3" t="n"/>
      <c r="G12" t="n">
        <v>11</v>
      </c>
      <c r="H12" s="3" t="n"/>
      <c r="J12" t="n">
        <v>11</v>
      </c>
      <c r="K12" s="3" t="n"/>
      <c r="M12" t="n">
        <v>11</v>
      </c>
      <c r="N12" s="3" t="n"/>
      <c r="P12" t="n">
        <v>11</v>
      </c>
      <c r="Q12" s="3" t="n"/>
      <c r="S12" t="n">
        <v>11</v>
      </c>
      <c r="T12" s="3" t="n"/>
      <c r="V12" t="n">
        <v>11</v>
      </c>
      <c r="W12" s="3" t="n"/>
      <c r="Y12" t="n">
        <v>11</v>
      </c>
      <c r="Z12" s="3" t="n"/>
      <c r="AB12" t="n">
        <v>11</v>
      </c>
      <c r="AC12" s="3" t="n"/>
      <c r="AE12" t="n">
        <v>11</v>
      </c>
      <c r="AF12" s="3" t="n"/>
      <c r="AH12" t="n">
        <v>11</v>
      </c>
      <c r="AI12" s="3" t="n"/>
    </row>
    <row r="13">
      <c r="A13" t="n">
        <v>12</v>
      </c>
      <c r="D13" t="n">
        <v>12</v>
      </c>
      <c r="E13" s="3" t="n"/>
      <c r="G13" t="n">
        <v>12</v>
      </c>
      <c r="H13" s="3" t="n"/>
      <c r="J13" t="n">
        <v>12</v>
      </c>
      <c r="K13" s="3" t="n"/>
      <c r="M13" t="n">
        <v>12</v>
      </c>
      <c r="N13" s="3" t="n"/>
      <c r="P13" t="n">
        <v>12</v>
      </c>
      <c r="Q13" s="3" t="n"/>
      <c r="S13" t="n">
        <v>12</v>
      </c>
      <c r="T13" s="3" t="n"/>
      <c r="V13" t="n">
        <v>12</v>
      </c>
      <c r="W13" s="3" t="n"/>
      <c r="Y13" t="n">
        <v>12</v>
      </c>
      <c r="Z13" s="3" t="n"/>
      <c r="AB13" t="n">
        <v>12</v>
      </c>
      <c r="AC13" s="3" t="n"/>
      <c r="AE13" t="n">
        <v>12</v>
      </c>
      <c r="AF13" s="3" t="n"/>
      <c r="AH13" t="n">
        <v>12</v>
      </c>
      <c r="AI13" s="3" t="n"/>
    </row>
    <row r="14">
      <c r="A14" t="n">
        <v>13</v>
      </c>
      <c r="D14" t="n">
        <v>13</v>
      </c>
      <c r="E14" s="3" t="n">
        <v>417</v>
      </c>
      <c r="G14" t="n">
        <v>13</v>
      </c>
      <c r="H14" s="3" t="n">
        <v>-77.5</v>
      </c>
      <c r="J14" t="n">
        <v>13</v>
      </c>
      <c r="K14" s="3" t="n"/>
      <c r="M14" t="n">
        <v>13</v>
      </c>
      <c r="N14" s="3" t="n"/>
      <c r="P14" t="n">
        <v>13</v>
      </c>
      <c r="Q14" s="3" t="n"/>
      <c r="S14" t="n">
        <v>13</v>
      </c>
      <c r="T14" s="3" t="n"/>
      <c r="V14" t="n">
        <v>13</v>
      </c>
      <c r="W14" s="3" t="n"/>
      <c r="Y14" t="n">
        <v>13</v>
      </c>
      <c r="Z14" s="3" t="n"/>
      <c r="AB14" t="n">
        <v>13</v>
      </c>
      <c r="AC14" s="3" t="n"/>
      <c r="AE14" t="n">
        <v>13</v>
      </c>
      <c r="AF14" s="3" t="n"/>
      <c r="AH14" t="n">
        <v>13</v>
      </c>
      <c r="AI14" s="3" t="n"/>
    </row>
    <row r="15">
      <c r="A15" t="n">
        <v>14</v>
      </c>
      <c r="D15" t="n">
        <v>14</v>
      </c>
      <c r="E15" s="3" t="n"/>
      <c r="G15" t="n">
        <v>14</v>
      </c>
      <c r="H15" s="3" t="n"/>
      <c r="J15" t="n">
        <v>14</v>
      </c>
      <c r="K15" s="3" t="n"/>
      <c r="M15" t="n">
        <v>14</v>
      </c>
      <c r="N15" s="3" t="n"/>
      <c r="P15" t="n">
        <v>14</v>
      </c>
      <c r="Q15" s="3" t="n"/>
      <c r="S15" t="n">
        <v>14</v>
      </c>
      <c r="T15" s="3" t="n"/>
      <c r="V15" t="n">
        <v>14</v>
      </c>
      <c r="W15" s="3" t="n"/>
      <c r="Y15" t="n">
        <v>14</v>
      </c>
      <c r="Z15" s="3" t="n"/>
      <c r="AB15" t="n">
        <v>14</v>
      </c>
      <c r="AC15" s="3" t="n"/>
      <c r="AE15" t="n">
        <v>14</v>
      </c>
      <c r="AF15" s="3" t="n"/>
      <c r="AH15" t="n">
        <v>14</v>
      </c>
      <c r="AI15" s="3" t="n"/>
    </row>
    <row r="16">
      <c r="A16" t="n">
        <v>15</v>
      </c>
      <c r="D16" t="n">
        <v>15</v>
      </c>
      <c r="E16" s="3" t="n"/>
      <c r="G16" t="n">
        <v>15</v>
      </c>
      <c r="H16" s="3" t="n"/>
      <c r="J16" t="n">
        <v>15</v>
      </c>
      <c r="K16" s="3" t="n"/>
      <c r="M16" t="n">
        <v>15</v>
      </c>
      <c r="N16" s="3" t="n"/>
      <c r="P16" t="n">
        <v>15</v>
      </c>
      <c r="Q16" s="3" t="n"/>
      <c r="S16" t="n">
        <v>15</v>
      </c>
      <c r="T16" s="3" t="n"/>
      <c r="V16" t="n">
        <v>15</v>
      </c>
      <c r="W16" s="3" t="n"/>
      <c r="Y16" t="n">
        <v>15</v>
      </c>
      <c r="Z16" s="3" t="n"/>
      <c r="AB16" t="n">
        <v>15</v>
      </c>
      <c r="AC16" s="3" t="n"/>
      <c r="AE16" t="n">
        <v>15</v>
      </c>
      <c r="AF16" s="3" t="n"/>
      <c r="AH16" t="n">
        <v>15</v>
      </c>
      <c r="AI16" s="3" t="n"/>
    </row>
    <row r="17">
      <c r="A17" t="n">
        <v>16</v>
      </c>
      <c r="B17" s="3" t="n">
        <v>296</v>
      </c>
      <c r="D17" t="n">
        <v>16</v>
      </c>
      <c r="E17" s="3" t="n"/>
      <c r="G17" t="n">
        <v>16</v>
      </c>
      <c r="H17" s="3" t="n"/>
      <c r="J17" t="n">
        <v>16</v>
      </c>
      <c r="K17" s="3" t="n"/>
      <c r="M17" t="n">
        <v>16</v>
      </c>
      <c r="N17" s="3" t="n"/>
      <c r="P17" t="n">
        <v>16</v>
      </c>
      <c r="Q17" s="3" t="n"/>
      <c r="S17" t="n">
        <v>16</v>
      </c>
      <c r="T17" s="3" t="n"/>
      <c r="V17" t="n">
        <v>16</v>
      </c>
      <c r="W17" s="3" t="n"/>
      <c r="Y17" t="n">
        <v>16</v>
      </c>
      <c r="Z17" s="3" t="n"/>
      <c r="AB17" t="n">
        <v>16</v>
      </c>
      <c r="AC17" s="3" t="n"/>
      <c r="AE17" t="n">
        <v>16</v>
      </c>
      <c r="AF17" s="3" t="n"/>
      <c r="AH17" t="n">
        <v>16</v>
      </c>
      <c r="AI17" s="3" t="n"/>
    </row>
    <row r="18">
      <c r="A18" t="n">
        <v>17</v>
      </c>
      <c r="D18" t="n">
        <v>17</v>
      </c>
      <c r="E18" s="3" t="n"/>
      <c r="G18" t="n">
        <v>17</v>
      </c>
      <c r="H18" s="3" t="n"/>
      <c r="J18" t="n">
        <v>17</v>
      </c>
      <c r="K18" s="3" t="n"/>
      <c r="M18" t="n">
        <v>17</v>
      </c>
      <c r="N18" s="3" t="n"/>
      <c r="P18" t="n">
        <v>17</v>
      </c>
      <c r="Q18" s="3" t="n"/>
      <c r="S18" t="n">
        <v>17</v>
      </c>
      <c r="T18" s="3" t="n"/>
      <c r="V18" t="n">
        <v>17</v>
      </c>
      <c r="W18" s="3" t="n"/>
      <c r="Y18" t="n">
        <v>17</v>
      </c>
      <c r="Z18" s="3" t="n"/>
      <c r="AB18" t="n">
        <v>17</v>
      </c>
      <c r="AC18" s="3" t="n"/>
      <c r="AE18" t="n">
        <v>17</v>
      </c>
      <c r="AF18" s="3" t="n"/>
      <c r="AH18" t="n">
        <v>17</v>
      </c>
      <c r="AI18" s="3" t="n"/>
    </row>
    <row r="19">
      <c r="A19" t="n">
        <v>18</v>
      </c>
      <c r="D19" t="n">
        <v>18</v>
      </c>
      <c r="E19" s="3" t="n"/>
      <c r="G19" t="n">
        <v>18</v>
      </c>
      <c r="H19" s="3" t="n"/>
      <c r="J19" t="n">
        <v>18</v>
      </c>
      <c r="K19" s="3" t="n"/>
      <c r="M19" t="n">
        <v>18</v>
      </c>
      <c r="N19" s="3" t="n"/>
      <c r="P19" t="n">
        <v>18</v>
      </c>
      <c r="Q19" s="3" t="n"/>
      <c r="S19" t="n">
        <v>18</v>
      </c>
      <c r="T19" s="3" t="n"/>
      <c r="V19" t="n">
        <v>18</v>
      </c>
      <c r="W19" s="3" t="n"/>
      <c r="Y19" t="n">
        <v>18</v>
      </c>
      <c r="Z19" s="3" t="n"/>
      <c r="AB19" t="n">
        <v>18</v>
      </c>
      <c r="AC19" s="3" t="n"/>
      <c r="AE19" t="n">
        <v>18</v>
      </c>
      <c r="AF19" s="3" t="n"/>
      <c r="AH19" t="n">
        <v>18</v>
      </c>
      <c r="AI19" s="3" t="n"/>
    </row>
    <row r="20">
      <c r="A20" t="n">
        <v>19</v>
      </c>
      <c r="D20" t="n">
        <v>19</v>
      </c>
      <c r="E20" s="3" t="n"/>
      <c r="G20" t="n">
        <v>19</v>
      </c>
      <c r="H20" s="3" t="n"/>
      <c r="J20" t="n">
        <v>19</v>
      </c>
      <c r="K20" s="3" t="n"/>
      <c r="M20" t="n">
        <v>19</v>
      </c>
      <c r="N20" s="3" t="n"/>
      <c r="P20" t="n">
        <v>19</v>
      </c>
      <c r="Q20" s="3" t="n"/>
      <c r="S20" t="n">
        <v>19</v>
      </c>
      <c r="T20" s="3" t="n"/>
      <c r="V20" t="n">
        <v>19</v>
      </c>
      <c r="W20" s="3" t="n"/>
      <c r="Y20" t="n">
        <v>19</v>
      </c>
      <c r="Z20" s="3" t="n"/>
      <c r="AB20" t="n">
        <v>19</v>
      </c>
      <c r="AC20" s="3" t="n"/>
      <c r="AE20" t="n">
        <v>19</v>
      </c>
      <c r="AF20" s="3" t="n"/>
      <c r="AH20" t="n">
        <v>19</v>
      </c>
      <c r="AI20" s="3" t="n"/>
    </row>
    <row r="21">
      <c r="A21" t="n">
        <v>20</v>
      </c>
      <c r="D21" t="n">
        <v>20</v>
      </c>
      <c r="E21" s="3" t="n">
        <v>1169</v>
      </c>
      <c r="G21" t="n">
        <v>20</v>
      </c>
      <c r="H21" s="3" t="n">
        <v>-528</v>
      </c>
      <c r="J21" t="n">
        <v>20</v>
      </c>
      <c r="K21" s="3" t="n"/>
      <c r="M21" t="n">
        <v>20</v>
      </c>
      <c r="N21" s="3" t="n"/>
      <c r="P21" t="n">
        <v>20</v>
      </c>
      <c r="Q21" s="3" t="n"/>
      <c r="S21" t="n">
        <v>20</v>
      </c>
      <c r="T21" s="3" t="n"/>
      <c r="V21" t="n">
        <v>20</v>
      </c>
      <c r="W21" s="3" t="n"/>
      <c r="Y21" t="n">
        <v>20</v>
      </c>
      <c r="Z21" s="3" t="n"/>
      <c r="AB21" t="n">
        <v>20</v>
      </c>
      <c r="AC21" s="3" t="n"/>
      <c r="AE21" t="n">
        <v>20</v>
      </c>
      <c r="AF21" s="3" t="n"/>
      <c r="AH21" t="n">
        <v>20</v>
      </c>
      <c r="AI21" s="3" t="n"/>
    </row>
    <row r="22">
      <c r="A22" t="n">
        <v>21</v>
      </c>
      <c r="D22" t="n">
        <v>21</v>
      </c>
      <c r="E22" s="3" t="n"/>
      <c r="G22" t="n">
        <v>21</v>
      </c>
      <c r="H22" s="3" t="n"/>
      <c r="J22" t="n">
        <v>21</v>
      </c>
      <c r="K22" s="3" t="n"/>
      <c r="M22" t="n">
        <v>21</v>
      </c>
      <c r="N22" s="3" t="n"/>
      <c r="P22" t="n">
        <v>21</v>
      </c>
      <c r="Q22" s="3" t="n"/>
      <c r="S22" t="n">
        <v>21</v>
      </c>
      <c r="T22" s="3" t="n"/>
      <c r="V22" t="n">
        <v>21</v>
      </c>
      <c r="W22" s="3" t="n"/>
      <c r="Y22" t="n">
        <v>21</v>
      </c>
      <c r="Z22" s="3" t="n"/>
      <c r="AB22" t="n">
        <v>21</v>
      </c>
      <c r="AC22" s="3" t="n"/>
      <c r="AE22" t="n">
        <v>21</v>
      </c>
      <c r="AF22" s="3" t="n"/>
      <c r="AH22" t="n">
        <v>21</v>
      </c>
      <c r="AI22" s="3" t="n"/>
    </row>
    <row r="23">
      <c r="A23" t="n">
        <v>22</v>
      </c>
      <c r="D23" t="n">
        <v>22</v>
      </c>
      <c r="E23" s="3" t="n"/>
      <c r="G23" t="n">
        <v>22</v>
      </c>
      <c r="H23" s="3" t="n"/>
      <c r="J23" t="n">
        <v>22</v>
      </c>
      <c r="K23" s="3" t="n"/>
      <c r="M23" t="n">
        <v>22</v>
      </c>
      <c r="N23" s="3" t="n"/>
      <c r="P23" t="n">
        <v>22</v>
      </c>
      <c r="Q23" s="3" t="n"/>
      <c r="S23" t="n">
        <v>22</v>
      </c>
      <c r="T23" s="3" t="n"/>
      <c r="V23" t="n">
        <v>22</v>
      </c>
      <c r="W23" s="3" t="n"/>
      <c r="Y23" t="n">
        <v>22</v>
      </c>
      <c r="Z23" s="3" t="n"/>
      <c r="AB23" t="n">
        <v>22</v>
      </c>
      <c r="AC23" s="3" t="n"/>
      <c r="AE23" t="n">
        <v>22</v>
      </c>
      <c r="AF23" s="3" t="n"/>
      <c r="AH23" t="n">
        <v>22</v>
      </c>
      <c r="AI23" s="3" t="n"/>
    </row>
    <row r="24">
      <c r="A24" t="n">
        <v>23</v>
      </c>
      <c r="B24" s="3" t="n">
        <v>3007</v>
      </c>
      <c r="D24" t="n">
        <v>23</v>
      </c>
      <c r="E24" s="3" t="n"/>
      <c r="G24" t="n">
        <v>23</v>
      </c>
      <c r="H24" s="3" t="n"/>
      <c r="J24" t="n">
        <v>23</v>
      </c>
      <c r="K24" s="3" t="n"/>
      <c r="M24" t="n">
        <v>23</v>
      </c>
      <c r="N24" s="3" t="n"/>
      <c r="P24" t="n">
        <v>23</v>
      </c>
      <c r="Q24" s="3" t="n"/>
      <c r="S24" t="n">
        <v>23</v>
      </c>
      <c r="T24" s="3" t="n"/>
      <c r="V24" t="n">
        <v>23</v>
      </c>
      <c r="W24" s="3" t="n"/>
      <c r="Y24" t="n">
        <v>23</v>
      </c>
      <c r="Z24" s="3" t="n"/>
      <c r="AB24" t="n">
        <v>23</v>
      </c>
      <c r="AC24" s="3" t="n"/>
      <c r="AE24" t="n">
        <v>23</v>
      </c>
      <c r="AF24" s="3" t="n"/>
      <c r="AH24" t="n">
        <v>23</v>
      </c>
      <c r="AI24" s="3" t="n"/>
    </row>
    <row r="25">
      <c r="A25" t="n">
        <v>24</v>
      </c>
      <c r="D25" t="n">
        <v>24</v>
      </c>
      <c r="E25" s="3" t="n"/>
      <c r="G25" t="n">
        <v>24</v>
      </c>
      <c r="H25" s="3" t="n"/>
      <c r="J25" t="n">
        <v>24</v>
      </c>
      <c r="K25" s="3" t="n"/>
      <c r="M25" t="n">
        <v>24</v>
      </c>
      <c r="N25" s="3" t="n"/>
      <c r="P25" t="n">
        <v>24</v>
      </c>
      <c r="Q25" s="3" t="n"/>
      <c r="S25" t="n">
        <v>24</v>
      </c>
      <c r="T25" s="3" t="n"/>
      <c r="V25" t="n">
        <v>24</v>
      </c>
      <c r="W25" s="3" t="n"/>
      <c r="Y25" t="n">
        <v>24</v>
      </c>
      <c r="Z25" s="3" t="n"/>
      <c r="AB25" t="n">
        <v>24</v>
      </c>
      <c r="AC25" s="3" t="n"/>
      <c r="AE25" t="n">
        <v>24</v>
      </c>
      <c r="AF25" s="3" t="n"/>
      <c r="AH25" t="n">
        <v>24</v>
      </c>
      <c r="AI25" s="3" t="n"/>
    </row>
    <row r="26">
      <c r="A26" t="n">
        <v>25</v>
      </c>
      <c r="D26" t="n">
        <v>25</v>
      </c>
      <c r="E26" s="3" t="n"/>
      <c r="G26" t="n">
        <v>25</v>
      </c>
      <c r="H26" s="3" t="n"/>
      <c r="J26" t="n">
        <v>25</v>
      </c>
      <c r="K26" s="3" t="n"/>
      <c r="M26" t="n">
        <v>25</v>
      </c>
      <c r="N26" s="3" t="n"/>
      <c r="P26" t="n">
        <v>25</v>
      </c>
      <c r="Q26" s="3" t="n"/>
      <c r="S26" t="n">
        <v>25</v>
      </c>
      <c r="T26" s="3" t="n"/>
      <c r="V26" t="n">
        <v>25</v>
      </c>
      <c r="W26" s="3" t="n"/>
      <c r="Y26" t="n">
        <v>25</v>
      </c>
      <c r="Z26" s="3" t="n"/>
      <c r="AB26" t="n">
        <v>25</v>
      </c>
      <c r="AC26" s="3" t="n"/>
      <c r="AE26" t="n">
        <v>25</v>
      </c>
      <c r="AF26" s="3" t="n"/>
      <c r="AH26" t="n">
        <v>25</v>
      </c>
      <c r="AI26" s="3" t="n"/>
    </row>
    <row r="27">
      <c r="A27" t="n">
        <v>26</v>
      </c>
      <c r="D27" t="n">
        <v>26</v>
      </c>
      <c r="E27" s="3" t="n"/>
      <c r="G27" t="n">
        <v>26</v>
      </c>
      <c r="H27" s="3" t="n"/>
      <c r="J27" t="n">
        <v>26</v>
      </c>
      <c r="K27" s="3" t="n"/>
      <c r="M27" t="n">
        <v>26</v>
      </c>
      <c r="N27" s="3" t="n"/>
      <c r="P27" t="n">
        <v>26</v>
      </c>
      <c r="Q27" s="3" t="n"/>
      <c r="S27" t="n">
        <v>26</v>
      </c>
      <c r="T27" s="3" t="n"/>
      <c r="V27" t="n">
        <v>26</v>
      </c>
      <c r="W27" s="3" t="n"/>
      <c r="Y27" t="n">
        <v>26</v>
      </c>
      <c r="Z27" s="3" t="n"/>
      <c r="AB27" t="n">
        <v>26</v>
      </c>
      <c r="AC27" s="3" t="n"/>
      <c r="AE27" t="n">
        <v>26</v>
      </c>
      <c r="AF27" s="3" t="n"/>
      <c r="AH27" t="n">
        <v>26</v>
      </c>
      <c r="AI27" s="3" t="n"/>
    </row>
    <row r="28">
      <c r="A28" t="n">
        <v>27</v>
      </c>
      <c r="D28" t="n">
        <v>27</v>
      </c>
      <c r="E28" s="3" t="n">
        <v>1260</v>
      </c>
      <c r="G28" t="n">
        <v>27</v>
      </c>
      <c r="H28" s="3" t="n">
        <v>-1325</v>
      </c>
      <c r="J28" t="n">
        <v>27</v>
      </c>
      <c r="K28" s="3" t="n"/>
      <c r="M28" t="n">
        <v>27</v>
      </c>
      <c r="N28" s="3" t="n"/>
      <c r="P28" t="n">
        <v>27</v>
      </c>
      <c r="Q28" s="3" t="n"/>
      <c r="S28" t="n">
        <v>27</v>
      </c>
      <c r="T28" s="3" t="n"/>
      <c r="V28" t="n">
        <v>27</v>
      </c>
      <c r="W28" s="3" t="n"/>
      <c r="Y28" t="n">
        <v>27</v>
      </c>
      <c r="Z28" s="3" t="n"/>
      <c r="AB28" t="n">
        <v>27</v>
      </c>
      <c r="AC28" s="3" t="n"/>
      <c r="AE28" t="n">
        <v>27</v>
      </c>
      <c r="AF28" s="3" t="n"/>
      <c r="AH28" t="n">
        <v>27</v>
      </c>
      <c r="AI28" s="3" t="n"/>
    </row>
    <row r="29">
      <c r="A29" t="n">
        <v>28</v>
      </c>
      <c r="D29" t="n">
        <v>28</v>
      </c>
      <c r="E29" s="3" t="n"/>
      <c r="G29" t="n">
        <v>28</v>
      </c>
      <c r="H29" s="3" t="n"/>
      <c r="J29" t="n">
        <v>28</v>
      </c>
      <c r="K29" s="3" t="n"/>
      <c r="M29" t="n">
        <v>28</v>
      </c>
      <c r="N29" s="3" t="n"/>
      <c r="P29" t="n">
        <v>28</v>
      </c>
      <c r="Q29" s="3" t="n"/>
      <c r="S29" t="n">
        <v>28</v>
      </c>
      <c r="T29" s="3" t="n"/>
      <c r="V29" t="n">
        <v>28</v>
      </c>
      <c r="W29" s="3" t="n"/>
      <c r="Y29" t="n">
        <v>28</v>
      </c>
      <c r="Z29" s="3" t="n"/>
      <c r="AB29" t="n">
        <v>28</v>
      </c>
      <c r="AC29" s="3" t="n"/>
      <c r="AE29" t="n">
        <v>28</v>
      </c>
      <c r="AF29" s="3" t="n"/>
      <c r="AH29" t="n">
        <v>28</v>
      </c>
      <c r="AI29" s="3" t="n"/>
    </row>
    <row r="30">
      <c r="A30" t="n">
        <v>29</v>
      </c>
      <c r="D30" t="n">
        <v>29</v>
      </c>
      <c r="E30" s="3" t="n"/>
      <c r="G30" t="n">
        <v>29</v>
      </c>
      <c r="H30" s="3" t="n"/>
      <c r="J30" t="n">
        <v>29</v>
      </c>
      <c r="K30" s="3" t="n"/>
      <c r="M30" t="n">
        <v>29</v>
      </c>
      <c r="N30" s="3" t="n"/>
      <c r="P30" t="n">
        <v>29</v>
      </c>
      <c r="Q30" s="3" t="n"/>
      <c r="S30" t="n">
        <v>29</v>
      </c>
      <c r="T30" s="3" t="n"/>
      <c r="V30" t="n">
        <v>29</v>
      </c>
      <c r="W30" s="3" t="n"/>
      <c r="Y30" t="n">
        <v>29</v>
      </c>
      <c r="Z30" s="3" t="n"/>
      <c r="AB30" t="n">
        <v>29</v>
      </c>
      <c r="AC30" s="3" t="n"/>
      <c r="AE30" t="n">
        <v>29</v>
      </c>
      <c r="AF30" s="3" t="n"/>
      <c r="AH30" t="n">
        <v>29</v>
      </c>
      <c r="AI30" s="3" t="n"/>
    </row>
    <row r="31">
      <c r="A31" t="n">
        <v>30</v>
      </c>
      <c r="B31" s="3" t="n">
        <v>1569</v>
      </c>
      <c r="D31" t="n">
        <v>30</v>
      </c>
      <c r="E31" s="3" t="n"/>
      <c r="G31" t="n">
        <v>30</v>
      </c>
      <c r="H31" s="3" t="n"/>
      <c r="J31" t="n">
        <v>30</v>
      </c>
      <c r="K31" s="3" t="n"/>
      <c r="M31" t="n">
        <v>30</v>
      </c>
      <c r="N31" s="3" t="n"/>
      <c r="P31" t="n">
        <v>30</v>
      </c>
      <c r="S31" t="n">
        <v>30</v>
      </c>
      <c r="V31" t="n">
        <v>30</v>
      </c>
      <c r="Y31" t="n">
        <v>30</v>
      </c>
      <c r="AB31" t="n">
        <v>30</v>
      </c>
      <c r="AC31" s="3" t="n"/>
      <c r="AE31" t="n">
        <v>30</v>
      </c>
      <c r="AF31" s="3" t="n"/>
      <c r="AH31" t="n">
        <v>30</v>
      </c>
      <c r="AI31" s="3" t="n"/>
    </row>
    <row r="32">
      <c r="A32" t="n">
        <v>31</v>
      </c>
      <c r="D32" t="n">
        <v>31</v>
      </c>
      <c r="E32" s="3" t="n"/>
      <c r="G32" t="n">
        <v>31</v>
      </c>
      <c r="H32" s="3" t="n"/>
      <c r="J32" t="n">
        <v>31</v>
      </c>
      <c r="K32" s="3" t="n"/>
      <c r="M32" t="n">
        <v>31</v>
      </c>
      <c r="N32" s="3" t="n"/>
      <c r="P32" t="n">
        <v>31</v>
      </c>
      <c r="S32" t="n">
        <v>31</v>
      </c>
      <c r="V32" t="n">
        <v>31</v>
      </c>
      <c r="Y32" t="n">
        <v>31</v>
      </c>
      <c r="AB32" t="n">
        <v>31</v>
      </c>
      <c r="AC32" s="3" t="n"/>
      <c r="AE32" t="n">
        <v>31</v>
      </c>
      <c r="AF32" s="3" t="n"/>
      <c r="AH32" t="n">
        <v>31</v>
      </c>
      <c r="AI32" s="3" t="n"/>
    </row>
    <row r="33">
      <c r="E33" s="3" t="n"/>
      <c r="H33" s="3" t="n"/>
    </row>
    <row r="34">
      <c r="E34" s="3" t="n"/>
      <c r="H34" s="3" t="n"/>
    </row>
    <row r="35">
      <c r="A35" t="inlineStr">
        <is>
          <t>Total</t>
        </is>
      </c>
      <c r="B35" s="3">
        <f>SUM(B2:B34)</f>
        <v/>
      </c>
      <c r="E35" s="3">
        <f>SUM(E2:E32)</f>
        <v/>
      </c>
      <c r="H35" s="3">
        <f>SUM(H2:H34)</f>
        <v/>
      </c>
      <c r="K35" s="3">
        <f>SUM(K2:K34)</f>
        <v/>
      </c>
      <c r="N35" s="3">
        <f>SUM(N2:N34)</f>
        <v/>
      </c>
      <c r="Q35" s="3">
        <f>SUM(Q2:Q34)</f>
        <v/>
      </c>
      <c r="T35" s="3">
        <f>SUM(T2:T34)</f>
        <v/>
      </c>
      <c r="W35" s="3">
        <f>SUM(W2:W34)</f>
        <v/>
      </c>
      <c r="Z35" s="3">
        <f>SUM(Z2:Z34)</f>
        <v/>
      </c>
      <c r="AC35" s="3">
        <f>SUM(AC2:AC34)</f>
        <v/>
      </c>
      <c r="AF35" s="3">
        <f>SUM(AF2:AF34)</f>
        <v/>
      </c>
      <c r="AI35" s="3">
        <f>SUM(AI2:AI34)</f>
        <v/>
      </c>
    </row>
  </sheetData>
  <mergeCells count="3">
    <mergeCell ref="D1:E1"/>
    <mergeCell ref="G1:H1"/>
    <mergeCell ref="A1:B1"/>
  </mergeCells>
  <conditionalFormatting sqref="B2:B32">
    <cfRule type="cellIs" priority="43" operator="lessThan" dxfId="1">
      <formula>0</formula>
    </cfRule>
    <cfRule type="cellIs" priority="44" operator="greaterThan" dxfId="0">
      <formula>0</formula>
    </cfRule>
  </conditionalFormatting>
  <conditionalFormatting sqref="B35">
    <cfRule type="cellIs" priority="42" operator="greaterThan" dxfId="0">
      <formula>0</formula>
    </cfRule>
    <cfRule type="cellIs" priority="41" operator="lessThan" dxfId="1">
      <formula>0</formula>
    </cfRule>
  </conditionalFormatting>
  <conditionalFormatting sqref="E2:E35">
    <cfRule type="cellIs" priority="39" operator="lessThan" dxfId="1">
      <formula>0</formula>
    </cfRule>
    <cfRule type="cellIs" priority="40" operator="greaterThan" dxfId="0">
      <formula>0</formula>
    </cfRule>
  </conditionalFormatting>
  <conditionalFormatting sqref="H2:H35">
    <cfRule type="cellIs" priority="34" operator="greaterThan" dxfId="0">
      <formula>0</formula>
    </cfRule>
    <cfRule type="cellIs" priority="33" operator="lessThan" dxfId="1">
      <formula>0</formula>
    </cfRule>
  </conditionalFormatting>
  <conditionalFormatting sqref="K2:K32">
    <cfRule type="cellIs" priority="38" operator="greaterThan" dxfId="0">
      <formula>0</formula>
    </cfRule>
    <cfRule type="cellIs" priority="37" operator="lessThan" dxfId="1">
      <formula>0</formula>
    </cfRule>
  </conditionalFormatting>
  <conditionalFormatting sqref="K35">
    <cfRule type="cellIs" priority="36" operator="greaterThan" dxfId="0">
      <formula>0</formula>
    </cfRule>
    <cfRule type="cellIs" priority="35" operator="lessThan" dxfId="1">
      <formula>0</formula>
    </cfRule>
  </conditionalFormatting>
  <conditionalFormatting sqref="N2:N32">
    <cfRule type="cellIs" priority="32" operator="greaterThan" dxfId="0">
      <formula>0</formula>
    </cfRule>
    <cfRule type="cellIs" priority="31" operator="lessThan" dxfId="1">
      <formula>0</formula>
    </cfRule>
  </conditionalFormatting>
  <conditionalFormatting sqref="N35">
    <cfRule type="cellIs" priority="30" operator="greaterThan" dxfId="0">
      <formula>0</formula>
    </cfRule>
    <cfRule type="cellIs" priority="29" operator="lessThan" dxfId="1">
      <formula>0</formula>
    </cfRule>
  </conditionalFormatting>
  <conditionalFormatting sqref="Q2:Q30">
    <cfRule type="cellIs" priority="28" operator="greaterThan" dxfId="0">
      <formula>0</formula>
    </cfRule>
    <cfRule type="cellIs" priority="27" operator="lessThan" dxfId="1">
      <formula>0</formula>
    </cfRule>
  </conditionalFormatting>
  <conditionalFormatting sqref="Q35">
    <cfRule type="cellIs" priority="26" operator="greaterThan" dxfId="0">
      <formula>0</formula>
    </cfRule>
    <cfRule type="cellIs" priority="25" operator="lessThan" dxfId="1">
      <formula>0</formula>
    </cfRule>
  </conditionalFormatting>
  <conditionalFormatting sqref="T2:T30">
    <cfRule type="cellIs" priority="23" operator="lessThan" dxfId="1">
      <formula>0</formula>
    </cfRule>
    <cfRule type="cellIs" priority="24" operator="greaterThan" dxfId="0">
      <formula>0</formula>
    </cfRule>
  </conditionalFormatting>
  <conditionalFormatting sqref="T35">
    <cfRule type="cellIs" priority="22" operator="greaterThan" dxfId="0">
      <formula>0</formula>
    </cfRule>
    <cfRule type="cellIs" priority="21" operator="lessThan" dxfId="1">
      <formula>0</formula>
    </cfRule>
  </conditionalFormatting>
  <conditionalFormatting sqref="W2:W30">
    <cfRule type="cellIs" priority="20" operator="greaterThan" dxfId="0">
      <formula>0</formula>
    </cfRule>
    <cfRule type="cellIs" priority="19" operator="lessThan" dxfId="1">
      <formula>0</formula>
    </cfRule>
  </conditionalFormatting>
  <conditionalFormatting sqref="W35">
    <cfRule type="cellIs" priority="18" operator="greaterThan" dxfId="0">
      <formula>0</formula>
    </cfRule>
    <cfRule type="cellIs" priority="17" operator="lessThan" dxfId="1">
      <formula>0</formula>
    </cfRule>
  </conditionalFormatting>
  <conditionalFormatting sqref="Z2:Z30">
    <cfRule type="cellIs" priority="16" operator="greaterThan" dxfId="0">
      <formula>0</formula>
    </cfRule>
    <cfRule type="cellIs" priority="15" operator="lessThan" dxfId="1">
      <formula>0</formula>
    </cfRule>
  </conditionalFormatting>
  <conditionalFormatting sqref="Z35">
    <cfRule type="cellIs" priority="14" operator="greaterThan" dxfId="0">
      <formula>0</formula>
    </cfRule>
    <cfRule type="cellIs" priority="13" operator="lessThan" dxfId="1">
      <formula>0</formula>
    </cfRule>
  </conditionalFormatting>
  <conditionalFormatting sqref="AC2:AC32">
    <cfRule type="cellIs" priority="11" operator="lessThan" dxfId="1">
      <formula>0</formula>
    </cfRule>
    <cfRule type="cellIs" priority="12" operator="greaterThan" dxfId="0">
      <formula>0</formula>
    </cfRule>
  </conditionalFormatting>
  <conditionalFormatting sqref="AC35">
    <cfRule type="cellIs" priority="10" operator="greaterThan" dxfId="0">
      <formula>0</formula>
    </cfRule>
    <cfRule type="cellIs" priority="9" operator="lessThan" dxfId="1">
      <formula>0</formula>
    </cfRule>
  </conditionalFormatting>
  <conditionalFormatting sqref="AF2:AF32">
    <cfRule type="cellIs" priority="8" operator="greaterThan" dxfId="0">
      <formula>0</formula>
    </cfRule>
    <cfRule type="cellIs" priority="7" operator="lessThan" dxfId="1">
      <formula>0</formula>
    </cfRule>
  </conditionalFormatting>
  <conditionalFormatting sqref="AF35">
    <cfRule type="cellIs" priority="6" operator="greaterThan" dxfId="0">
      <formula>0</formula>
    </cfRule>
    <cfRule type="cellIs" priority="5" operator="lessThan" dxfId="1">
      <formula>0</formula>
    </cfRule>
  </conditionalFormatting>
  <conditionalFormatting sqref="AI2:AI32">
    <cfRule type="cellIs" priority="4" operator="greaterThan" dxfId="0">
      <formula>0</formula>
    </cfRule>
    <cfRule type="cellIs" priority="3" operator="lessThan" dxfId="1">
      <formula>0</formula>
    </cfRule>
  </conditionalFormatting>
  <conditionalFormatting sqref="AI35">
    <cfRule type="cellIs" priority="2" operator="greaterThan" dxfId="0">
      <formula>0</formula>
    </cfRule>
    <cfRule type="cellIs" priority="1" operator="lessThan" dxfId="1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selection activeCell="K35" sqref="B35:K35"/>
    </sheetView>
  </sheetViews>
  <sheetFormatPr baseColWidth="8" defaultRowHeight="15"/>
  <cols>
    <col width="18.42578125" customWidth="1" min="1" max="1"/>
    <col width="15.42578125" customWidth="1" style="3" min="2" max="2"/>
    <col width="11.5703125" customWidth="1" min="4" max="4"/>
    <col width="12.5703125" customWidth="1" min="5" max="5"/>
    <col width="11.5703125" customWidth="1" min="7" max="7"/>
    <col width="12.5703125" customWidth="1" min="8" max="8"/>
    <col width="11.5703125" customWidth="1" min="10" max="10"/>
    <col width="10.140625" bestFit="1" customWidth="1" min="11" max="11"/>
    <col width="10.42578125" bestFit="1" customWidth="1" min="13" max="13"/>
    <col width="10.85546875" bestFit="1" customWidth="1" min="14" max="14"/>
    <col width="10.85546875" bestFit="1" customWidth="1" min="17" max="17"/>
    <col width="10.85546875" bestFit="1" customWidth="1" min="20" max="20"/>
    <col width="10.85546875" bestFit="1" customWidth="1" min="23" max="23"/>
    <col width="10.85546875" bestFit="1" customWidth="1" min="26" max="26"/>
    <col width="10.85546875" bestFit="1" customWidth="1" min="29" max="29"/>
    <col width="10.85546875" bestFit="1" customWidth="1" min="32" max="32"/>
    <col width="10.140625" bestFit="1" customWidth="1" min="35" max="35"/>
  </cols>
  <sheetData>
    <row r="1" customFormat="1" s="2">
      <c r="A1" s="9" t="inlineStr">
        <is>
          <t>January</t>
        </is>
      </c>
      <c r="D1" s="9" t="inlineStr">
        <is>
          <t>February</t>
        </is>
      </c>
      <c r="G1" s="9" t="inlineStr">
        <is>
          <t>March</t>
        </is>
      </c>
      <c r="J1" s="2" t="inlineStr">
        <is>
          <t>April</t>
        </is>
      </c>
      <c r="M1" s="2" t="inlineStr">
        <is>
          <t>May</t>
        </is>
      </c>
      <c r="P1" s="2" t="inlineStr">
        <is>
          <t>Jun</t>
        </is>
      </c>
      <c r="S1" s="2" t="inlineStr">
        <is>
          <t>Jul</t>
        </is>
      </c>
      <c r="V1" s="2" t="inlineStr">
        <is>
          <t>Aug</t>
        </is>
      </c>
      <c r="Y1" s="2" t="inlineStr">
        <is>
          <t>Sep</t>
        </is>
      </c>
      <c r="AB1" s="2" t="inlineStr">
        <is>
          <t>Oct</t>
        </is>
      </c>
      <c r="AE1" s="2" t="inlineStr">
        <is>
          <t>Nov</t>
        </is>
      </c>
      <c r="AH1" s="2" t="inlineStr">
        <is>
          <t>Dec</t>
        </is>
      </c>
    </row>
    <row r="2">
      <c r="A2" t="n">
        <v>1</v>
      </c>
      <c r="D2" t="n">
        <v>1</v>
      </c>
      <c r="E2" s="3" t="n"/>
      <c r="G2" t="n">
        <v>1</v>
      </c>
      <c r="H2" s="3" t="n"/>
      <c r="J2" t="n">
        <v>1</v>
      </c>
      <c r="K2" s="3" t="n"/>
      <c r="M2" t="n">
        <v>1</v>
      </c>
      <c r="N2" s="3" t="n"/>
      <c r="P2" t="n">
        <v>1</v>
      </c>
      <c r="Q2" s="3" t="n"/>
      <c r="S2" t="n">
        <v>1</v>
      </c>
      <c r="T2" s="3" t="n"/>
      <c r="V2" t="n">
        <v>1</v>
      </c>
      <c r="W2" s="3" t="n"/>
      <c r="Y2" t="n">
        <v>1</v>
      </c>
      <c r="Z2" s="3" t="n"/>
      <c r="AB2" t="n">
        <v>1</v>
      </c>
      <c r="AC2" s="3" t="n"/>
      <c r="AE2" t="n">
        <v>1</v>
      </c>
      <c r="AF2" s="3" t="n"/>
      <c r="AH2" t="n">
        <v>1</v>
      </c>
      <c r="AI2" s="3" t="n"/>
    </row>
    <row r="3">
      <c r="A3" t="n">
        <v>2</v>
      </c>
      <c r="B3" s="3" t="n">
        <v>1003</v>
      </c>
      <c r="D3" t="n">
        <v>2</v>
      </c>
      <c r="E3" s="3" t="n">
        <v>3900</v>
      </c>
      <c r="G3" t="n">
        <v>2</v>
      </c>
      <c r="H3" s="3" t="n">
        <v>5415</v>
      </c>
      <c r="J3" t="n">
        <v>2</v>
      </c>
      <c r="K3" s="3" t="n"/>
      <c r="M3" t="n">
        <v>2</v>
      </c>
      <c r="N3" s="3" t="n"/>
      <c r="P3" t="n">
        <v>2</v>
      </c>
      <c r="Q3" s="3" t="n"/>
      <c r="S3" t="n">
        <v>2</v>
      </c>
      <c r="T3" s="3" t="n"/>
      <c r="V3" t="n">
        <v>2</v>
      </c>
      <c r="W3" s="3" t="n"/>
      <c r="Y3" t="n">
        <v>2</v>
      </c>
      <c r="Z3" s="3" t="n"/>
      <c r="AB3" t="n">
        <v>2</v>
      </c>
      <c r="AC3" s="3" t="n"/>
      <c r="AE3" t="n">
        <v>2</v>
      </c>
      <c r="AF3" s="3" t="n"/>
      <c r="AH3" t="n">
        <v>2</v>
      </c>
      <c r="AI3" s="3" t="n"/>
    </row>
    <row r="4">
      <c r="A4" t="n">
        <v>3</v>
      </c>
      <c r="D4" t="n">
        <v>3</v>
      </c>
      <c r="E4" s="3" t="n"/>
      <c r="G4" t="n">
        <v>3</v>
      </c>
      <c r="H4" s="3" t="n">
        <v>4745</v>
      </c>
      <c r="J4" t="n">
        <v>3</v>
      </c>
      <c r="K4" s="3" t="n"/>
      <c r="M4" t="n">
        <v>3</v>
      </c>
      <c r="N4" s="3" t="n"/>
      <c r="P4" t="n">
        <v>3</v>
      </c>
      <c r="Q4" s="3" t="n"/>
      <c r="S4" t="n">
        <v>3</v>
      </c>
      <c r="T4" s="3" t="n"/>
      <c r="V4" t="n">
        <v>3</v>
      </c>
      <c r="W4" s="3" t="n"/>
      <c r="Y4" t="n">
        <v>3</v>
      </c>
      <c r="Z4" s="3" t="n"/>
      <c r="AB4" t="n">
        <v>3</v>
      </c>
      <c r="AC4" s="3" t="n"/>
      <c r="AE4" t="n">
        <v>3</v>
      </c>
      <c r="AF4" s="3" t="n"/>
      <c r="AH4" t="n">
        <v>3</v>
      </c>
      <c r="AI4" s="3" t="n"/>
    </row>
    <row r="5">
      <c r="A5" t="n">
        <v>4</v>
      </c>
      <c r="D5" t="n">
        <v>4</v>
      </c>
      <c r="E5" s="3" t="n">
        <v>6125</v>
      </c>
      <c r="G5" t="n">
        <v>4</v>
      </c>
      <c r="H5" s="3" t="n"/>
      <c r="J5" t="n">
        <v>4</v>
      </c>
      <c r="K5" s="3" t="n"/>
      <c r="M5" t="n">
        <v>4</v>
      </c>
      <c r="N5" s="3" t="n"/>
      <c r="P5" t="n">
        <v>4</v>
      </c>
      <c r="Q5" s="3" t="n"/>
      <c r="S5" t="n">
        <v>4</v>
      </c>
      <c r="T5" s="3" t="n"/>
      <c r="V5" t="n">
        <v>4</v>
      </c>
      <c r="W5" s="3" t="n"/>
      <c r="Y5" t="n">
        <v>4</v>
      </c>
      <c r="Z5" s="3" t="n"/>
      <c r="AB5" t="n">
        <v>4</v>
      </c>
      <c r="AC5" s="3" t="n"/>
      <c r="AE5" t="n">
        <v>4</v>
      </c>
      <c r="AF5" s="3" t="n"/>
      <c r="AH5" t="n">
        <v>4</v>
      </c>
      <c r="AI5" s="3" t="n"/>
    </row>
    <row r="6">
      <c r="A6" t="n">
        <v>5</v>
      </c>
      <c r="B6" s="3" t="n">
        <v>2330</v>
      </c>
      <c r="D6" t="n">
        <v>5</v>
      </c>
      <c r="E6" s="3" t="n">
        <v>4605</v>
      </c>
      <c r="G6" t="n">
        <v>5</v>
      </c>
      <c r="H6" s="3" t="n">
        <v>4875</v>
      </c>
      <c r="J6" t="n">
        <v>5</v>
      </c>
      <c r="K6" s="3" t="n"/>
      <c r="M6" t="n">
        <v>5</v>
      </c>
      <c r="N6" s="3" t="n"/>
      <c r="P6" t="n">
        <v>5</v>
      </c>
      <c r="Q6" s="3" t="n"/>
      <c r="S6" t="n">
        <v>5</v>
      </c>
      <c r="T6" s="3" t="n"/>
      <c r="V6" t="n">
        <v>5</v>
      </c>
      <c r="W6" s="3" t="n"/>
      <c r="Y6" t="n">
        <v>5</v>
      </c>
      <c r="Z6" s="3" t="n"/>
      <c r="AB6" t="n">
        <v>5</v>
      </c>
      <c r="AC6" s="3" t="n"/>
      <c r="AE6" t="n">
        <v>5</v>
      </c>
      <c r="AF6" s="3" t="n"/>
      <c r="AH6" t="n">
        <v>5</v>
      </c>
      <c r="AI6" s="3" t="n"/>
    </row>
    <row r="7">
      <c r="A7" t="n">
        <v>6</v>
      </c>
      <c r="B7" s="3" t="n">
        <v>252</v>
      </c>
      <c r="D7" t="n">
        <v>6</v>
      </c>
      <c r="E7" s="3" t="n">
        <v>-1910</v>
      </c>
      <c r="G7" t="n">
        <v>6</v>
      </c>
      <c r="H7" s="3" t="n">
        <v>4474</v>
      </c>
      <c r="J7" t="n">
        <v>6</v>
      </c>
      <c r="K7" s="3" t="n"/>
      <c r="M7" t="n">
        <v>6</v>
      </c>
      <c r="N7" s="3" t="n"/>
      <c r="P7" t="n">
        <v>6</v>
      </c>
      <c r="Q7" s="3" t="n"/>
      <c r="S7" t="n">
        <v>6</v>
      </c>
      <c r="T7" s="3" t="n"/>
      <c r="V7" t="n">
        <v>6</v>
      </c>
      <c r="W7" s="3" t="n"/>
      <c r="Y7" t="n">
        <v>6</v>
      </c>
      <c r="Z7" s="3" t="n"/>
      <c r="AB7" t="n">
        <v>6</v>
      </c>
      <c r="AC7" s="3" t="n"/>
      <c r="AE7" t="n">
        <v>6</v>
      </c>
      <c r="AF7" s="3" t="n"/>
      <c r="AH7" t="n">
        <v>6</v>
      </c>
      <c r="AI7" s="3" t="n"/>
    </row>
    <row r="8">
      <c r="A8" t="n">
        <v>7</v>
      </c>
      <c r="B8" s="3" t="n">
        <v>-148</v>
      </c>
      <c r="D8" t="n">
        <v>7</v>
      </c>
      <c r="E8" s="3" t="n"/>
      <c r="G8" t="n">
        <v>7</v>
      </c>
      <c r="H8" s="3" t="n"/>
      <c r="J8" t="n">
        <v>7</v>
      </c>
      <c r="K8" s="3" t="n"/>
      <c r="M8" t="n">
        <v>7</v>
      </c>
      <c r="N8" s="3" t="n"/>
      <c r="P8" t="n">
        <v>7</v>
      </c>
      <c r="Q8" s="3" t="n"/>
      <c r="S8" t="n">
        <v>7</v>
      </c>
      <c r="T8" s="3" t="n"/>
      <c r="V8" t="n">
        <v>7</v>
      </c>
      <c r="W8" s="3" t="n"/>
      <c r="Y8" t="n">
        <v>7</v>
      </c>
      <c r="Z8" s="3" t="n"/>
      <c r="AB8" t="n">
        <v>7</v>
      </c>
      <c r="AC8" s="3" t="n"/>
      <c r="AE8" t="n">
        <v>7</v>
      </c>
      <c r="AF8" s="3" t="n"/>
      <c r="AH8" t="n">
        <v>7</v>
      </c>
      <c r="AI8" s="3" t="n"/>
    </row>
    <row r="9">
      <c r="A9" t="n">
        <v>8</v>
      </c>
      <c r="B9" s="3" t="n">
        <v>2845</v>
      </c>
      <c r="D9" t="n">
        <v>8</v>
      </c>
      <c r="E9" s="3" t="n"/>
      <c r="G9" t="n">
        <v>8</v>
      </c>
      <c r="H9" s="3" t="n"/>
      <c r="J9" t="n">
        <v>8</v>
      </c>
      <c r="K9" s="3" t="n"/>
      <c r="M9" t="n">
        <v>8</v>
      </c>
      <c r="N9" s="3" t="n"/>
      <c r="P9" t="n">
        <v>8</v>
      </c>
      <c r="Q9" s="3" t="n"/>
      <c r="S9" t="n">
        <v>8</v>
      </c>
      <c r="T9" s="3" t="n"/>
      <c r="V9" t="n">
        <v>8</v>
      </c>
      <c r="W9" s="3" t="n"/>
      <c r="Y9" t="n">
        <v>8</v>
      </c>
      <c r="Z9" s="3" t="n"/>
      <c r="AB9" t="n">
        <v>8</v>
      </c>
      <c r="AC9" s="3" t="n"/>
      <c r="AE9" t="n">
        <v>8</v>
      </c>
      <c r="AF9" s="3" t="n"/>
      <c r="AH9" t="n">
        <v>8</v>
      </c>
      <c r="AI9" s="3" t="n"/>
    </row>
    <row r="10">
      <c r="A10" t="n">
        <v>9</v>
      </c>
      <c r="B10" s="3" t="n">
        <v>2068</v>
      </c>
      <c r="D10" t="n">
        <v>9</v>
      </c>
      <c r="E10" s="3" t="n">
        <v>4190</v>
      </c>
      <c r="G10" t="n">
        <v>9</v>
      </c>
      <c r="H10" s="3" t="n">
        <v>-20955</v>
      </c>
      <c r="J10" t="n">
        <v>9</v>
      </c>
      <c r="K10" s="3" t="n"/>
      <c r="M10" t="n">
        <v>9</v>
      </c>
      <c r="N10" s="3" t="n"/>
      <c r="P10" t="n">
        <v>9</v>
      </c>
      <c r="Q10" s="3" t="n"/>
      <c r="S10" t="n">
        <v>9</v>
      </c>
      <c r="T10" s="3" t="n"/>
      <c r="V10" t="n">
        <v>9</v>
      </c>
      <c r="W10" s="3" t="n"/>
      <c r="Y10" t="n">
        <v>9</v>
      </c>
      <c r="Z10" s="3" t="n"/>
      <c r="AB10" t="n">
        <v>9</v>
      </c>
      <c r="AC10" s="3" t="n"/>
      <c r="AE10" t="n">
        <v>9</v>
      </c>
      <c r="AF10" s="3" t="n"/>
      <c r="AH10" t="n">
        <v>9</v>
      </c>
      <c r="AI10" s="3" t="n"/>
    </row>
    <row r="11">
      <c r="A11" t="n">
        <v>10</v>
      </c>
      <c r="D11" t="n">
        <v>10</v>
      </c>
      <c r="E11" s="3" t="n"/>
      <c r="G11" t="n">
        <v>10</v>
      </c>
      <c r="H11" s="3" t="n"/>
      <c r="J11" t="n">
        <v>10</v>
      </c>
      <c r="K11" s="3" t="n"/>
      <c r="M11" t="n">
        <v>10</v>
      </c>
      <c r="N11" s="3" t="n"/>
      <c r="P11" t="n">
        <v>10</v>
      </c>
      <c r="Q11" s="3" t="n"/>
      <c r="S11" t="n">
        <v>10</v>
      </c>
      <c r="T11" s="3" t="n"/>
      <c r="V11" t="n">
        <v>10</v>
      </c>
      <c r="W11" s="3" t="n"/>
      <c r="Y11" t="n">
        <v>10</v>
      </c>
      <c r="Z11" s="3" t="n"/>
      <c r="AB11" t="n">
        <v>10</v>
      </c>
      <c r="AC11" s="3" t="n"/>
      <c r="AE11" t="n">
        <v>10</v>
      </c>
      <c r="AF11" s="3" t="n"/>
      <c r="AH11" t="n">
        <v>10</v>
      </c>
      <c r="AI11" s="3" t="n"/>
    </row>
    <row r="12">
      <c r="A12" t="n">
        <v>11</v>
      </c>
      <c r="D12" t="n">
        <v>11</v>
      </c>
      <c r="E12" s="3" t="n"/>
      <c r="G12" t="n">
        <v>11</v>
      </c>
      <c r="H12" s="3" t="n"/>
      <c r="J12" t="n">
        <v>11</v>
      </c>
      <c r="K12" s="3" t="n"/>
      <c r="M12" t="n">
        <v>11</v>
      </c>
      <c r="N12" s="3" t="n"/>
      <c r="P12" t="n">
        <v>11</v>
      </c>
      <c r="Q12" s="3" t="n"/>
      <c r="S12" t="n">
        <v>11</v>
      </c>
      <c r="T12" s="3" t="n"/>
      <c r="V12" t="n">
        <v>11</v>
      </c>
      <c r="W12" s="3" t="n"/>
      <c r="Y12" t="n">
        <v>11</v>
      </c>
      <c r="Z12" s="3" t="n"/>
      <c r="AB12" t="n">
        <v>11</v>
      </c>
      <c r="AC12" s="3" t="n"/>
      <c r="AE12" t="n">
        <v>11</v>
      </c>
      <c r="AF12" s="3" t="n"/>
      <c r="AH12" t="n">
        <v>11</v>
      </c>
      <c r="AI12" s="3" t="n"/>
    </row>
    <row r="13">
      <c r="A13" t="n">
        <v>12</v>
      </c>
      <c r="B13" s="3" t="n">
        <v>2570</v>
      </c>
      <c r="D13" t="n">
        <v>12</v>
      </c>
      <c r="E13" s="3" t="n"/>
      <c r="G13" t="n">
        <v>12</v>
      </c>
      <c r="H13" s="3" t="n">
        <v>4900</v>
      </c>
      <c r="J13" t="n">
        <v>12</v>
      </c>
      <c r="K13" s="3" t="n"/>
      <c r="M13" t="n">
        <v>12</v>
      </c>
      <c r="N13" s="3" t="n"/>
      <c r="P13" t="n">
        <v>12</v>
      </c>
      <c r="Q13" s="3" t="n"/>
      <c r="S13" t="n">
        <v>12</v>
      </c>
      <c r="T13" s="3" t="n"/>
      <c r="V13" t="n">
        <v>12</v>
      </c>
      <c r="W13" s="3" t="n"/>
      <c r="Y13" t="n">
        <v>12</v>
      </c>
      <c r="Z13" s="3" t="n"/>
      <c r="AB13" t="n">
        <v>12</v>
      </c>
      <c r="AC13" s="3" t="n"/>
      <c r="AE13" t="n">
        <v>12</v>
      </c>
      <c r="AF13" s="3" t="n"/>
      <c r="AH13" t="n">
        <v>12</v>
      </c>
      <c r="AI13" s="3" t="n"/>
    </row>
    <row r="14">
      <c r="A14" t="n">
        <v>13</v>
      </c>
      <c r="D14" t="n">
        <v>13</v>
      </c>
      <c r="E14" s="3" t="n">
        <v>1600</v>
      </c>
      <c r="G14" t="n">
        <v>13</v>
      </c>
      <c r="H14" s="3" t="n">
        <v>5120</v>
      </c>
      <c r="J14" t="n">
        <v>13</v>
      </c>
      <c r="K14" s="3" t="n"/>
      <c r="M14" t="n">
        <v>13</v>
      </c>
      <c r="N14" s="3" t="n"/>
      <c r="P14" t="n">
        <v>13</v>
      </c>
      <c r="Q14" s="3" t="n"/>
      <c r="S14" t="n">
        <v>13</v>
      </c>
      <c r="T14" s="3" t="n"/>
      <c r="V14" t="n">
        <v>13</v>
      </c>
      <c r="W14" s="3" t="n"/>
      <c r="Y14" t="n">
        <v>13</v>
      </c>
      <c r="Z14" s="3" t="n"/>
      <c r="AB14" t="n">
        <v>13</v>
      </c>
      <c r="AC14" s="3" t="n"/>
      <c r="AE14" t="n">
        <v>13</v>
      </c>
      <c r="AF14" s="3" t="n"/>
      <c r="AH14" t="n">
        <v>13</v>
      </c>
      <c r="AI14" s="3" t="n"/>
    </row>
    <row r="15">
      <c r="A15" t="n">
        <v>14</v>
      </c>
      <c r="B15" s="3" t="n">
        <v>2165</v>
      </c>
      <c r="D15" t="n">
        <v>14</v>
      </c>
      <c r="E15" s="3" t="n"/>
      <c r="G15" t="n">
        <v>14</v>
      </c>
      <c r="H15" s="3" t="n"/>
      <c r="J15" t="n">
        <v>14</v>
      </c>
      <c r="K15" s="3" t="n"/>
      <c r="M15" t="n">
        <v>14</v>
      </c>
      <c r="N15" s="3" t="n"/>
      <c r="P15" t="n">
        <v>14</v>
      </c>
      <c r="Q15" s="3" t="n"/>
      <c r="S15" t="n">
        <v>14</v>
      </c>
      <c r="T15" s="3" t="n"/>
      <c r="V15" t="n">
        <v>14</v>
      </c>
      <c r="W15" s="3" t="n"/>
      <c r="Y15" t="n">
        <v>14</v>
      </c>
      <c r="Z15" s="3" t="n"/>
      <c r="AB15" t="n">
        <v>14</v>
      </c>
      <c r="AC15" s="3" t="n"/>
      <c r="AE15" t="n">
        <v>14</v>
      </c>
      <c r="AF15" s="3" t="n"/>
      <c r="AH15" t="n">
        <v>14</v>
      </c>
      <c r="AI15" s="3" t="n"/>
    </row>
    <row r="16">
      <c r="A16" t="n">
        <v>15</v>
      </c>
      <c r="D16" t="n">
        <v>15</v>
      </c>
      <c r="E16" s="3" t="n"/>
      <c r="G16" t="n">
        <v>15</v>
      </c>
      <c r="H16" s="3" t="n"/>
      <c r="J16" t="n">
        <v>15</v>
      </c>
      <c r="K16" s="3" t="n"/>
      <c r="M16" t="n">
        <v>15</v>
      </c>
      <c r="N16" s="3" t="n"/>
      <c r="P16" t="n">
        <v>15</v>
      </c>
      <c r="Q16" s="3" t="n"/>
      <c r="S16" t="n">
        <v>15</v>
      </c>
      <c r="T16" s="3" t="n"/>
      <c r="V16" t="n">
        <v>15</v>
      </c>
      <c r="W16" s="3" t="n"/>
      <c r="Y16" t="n">
        <v>15</v>
      </c>
      <c r="Z16" s="3" t="n"/>
      <c r="AB16" t="n">
        <v>15</v>
      </c>
      <c r="AC16" s="3" t="n"/>
      <c r="AE16" t="n">
        <v>15</v>
      </c>
      <c r="AF16" s="3" t="n"/>
      <c r="AH16" t="n">
        <v>15</v>
      </c>
      <c r="AI16" s="3" t="n"/>
    </row>
    <row r="17">
      <c r="A17" t="n">
        <v>16</v>
      </c>
      <c r="B17" s="3" t="n">
        <v>1446</v>
      </c>
      <c r="D17" t="n">
        <v>16</v>
      </c>
      <c r="E17" s="3" t="n"/>
      <c r="G17" t="n">
        <v>16</v>
      </c>
      <c r="H17" s="3" t="n"/>
      <c r="J17" t="n">
        <v>16</v>
      </c>
      <c r="K17" s="3" t="n"/>
      <c r="M17" t="n">
        <v>16</v>
      </c>
      <c r="N17" s="3" t="n"/>
      <c r="P17" t="n">
        <v>16</v>
      </c>
      <c r="Q17" s="3" t="n"/>
      <c r="S17" t="n">
        <v>16</v>
      </c>
      <c r="T17" s="3" t="n"/>
      <c r="V17" t="n">
        <v>16</v>
      </c>
      <c r="W17" s="3" t="n"/>
      <c r="Y17" t="n">
        <v>16</v>
      </c>
      <c r="Z17" s="3" t="n"/>
      <c r="AB17" t="n">
        <v>16</v>
      </c>
      <c r="AC17" s="3" t="n"/>
      <c r="AE17" t="n">
        <v>16</v>
      </c>
      <c r="AF17" s="3" t="n"/>
      <c r="AH17" t="n">
        <v>16</v>
      </c>
      <c r="AI17" s="3" t="n"/>
    </row>
    <row r="18">
      <c r="A18" t="n">
        <v>17</v>
      </c>
      <c r="D18" t="n">
        <v>17</v>
      </c>
      <c r="E18" s="3" t="n">
        <v>4365</v>
      </c>
      <c r="G18" t="n">
        <v>17</v>
      </c>
      <c r="H18" s="3" t="n"/>
      <c r="J18" t="n">
        <v>17</v>
      </c>
      <c r="K18" s="3" t="n"/>
      <c r="M18" t="n">
        <v>17</v>
      </c>
      <c r="N18" s="3" t="n"/>
      <c r="P18" t="n">
        <v>17</v>
      </c>
      <c r="Q18" s="3" t="n"/>
      <c r="S18" t="n">
        <v>17</v>
      </c>
      <c r="T18" s="3" t="n"/>
      <c r="V18" t="n">
        <v>17</v>
      </c>
      <c r="W18" s="3" t="n"/>
      <c r="Y18" t="n">
        <v>17</v>
      </c>
      <c r="Z18" s="3" t="n"/>
      <c r="AB18" t="n">
        <v>17</v>
      </c>
      <c r="AC18" s="3" t="n"/>
      <c r="AE18" t="n">
        <v>17</v>
      </c>
      <c r="AF18" s="3" t="n"/>
      <c r="AH18" t="n">
        <v>17</v>
      </c>
      <c r="AI18" s="3" t="n"/>
    </row>
    <row r="19">
      <c r="A19" t="n">
        <v>18</v>
      </c>
      <c r="D19" t="n">
        <v>18</v>
      </c>
      <c r="E19" s="3" t="n"/>
      <c r="G19" t="n">
        <v>18</v>
      </c>
      <c r="H19" s="3" t="n"/>
      <c r="J19" t="n">
        <v>18</v>
      </c>
      <c r="K19" s="3" t="n"/>
      <c r="M19" t="n">
        <v>18</v>
      </c>
      <c r="N19" s="3" t="n"/>
      <c r="P19" t="n">
        <v>18</v>
      </c>
      <c r="Q19" s="3" t="n"/>
      <c r="S19" t="n">
        <v>18</v>
      </c>
      <c r="T19" s="3" t="n"/>
      <c r="V19" t="n">
        <v>18</v>
      </c>
      <c r="W19" s="3" t="n"/>
      <c r="Y19" t="n">
        <v>18</v>
      </c>
      <c r="Z19" s="3" t="n"/>
      <c r="AB19" t="n">
        <v>18</v>
      </c>
      <c r="AC19" s="3" t="n"/>
      <c r="AE19" t="n">
        <v>18</v>
      </c>
      <c r="AF19" s="3" t="n"/>
      <c r="AH19" t="n">
        <v>18</v>
      </c>
      <c r="AI19" s="3" t="n"/>
    </row>
    <row r="20">
      <c r="A20" t="n">
        <v>19</v>
      </c>
      <c r="D20" t="n">
        <v>19</v>
      </c>
      <c r="E20" s="3" t="n">
        <v>5070</v>
      </c>
      <c r="G20" t="n">
        <v>19</v>
      </c>
      <c r="H20" s="3" t="n">
        <v>4905</v>
      </c>
      <c r="J20" t="n">
        <v>19</v>
      </c>
      <c r="K20" s="3" t="n"/>
      <c r="M20" t="n">
        <v>19</v>
      </c>
      <c r="N20" s="3" t="n"/>
      <c r="P20" t="n">
        <v>19</v>
      </c>
      <c r="Q20" s="3" t="n"/>
      <c r="S20" t="n">
        <v>19</v>
      </c>
      <c r="T20" s="3" t="n"/>
      <c r="V20" t="n">
        <v>19</v>
      </c>
      <c r="W20" s="3" t="n"/>
      <c r="Y20" t="n">
        <v>19</v>
      </c>
      <c r="Z20" s="3" t="n"/>
      <c r="AB20" t="n">
        <v>19</v>
      </c>
      <c r="AC20" s="3" t="n"/>
      <c r="AE20" t="n">
        <v>19</v>
      </c>
      <c r="AF20" s="3" t="n"/>
      <c r="AH20" t="n">
        <v>19</v>
      </c>
      <c r="AI20" s="3" t="n"/>
    </row>
    <row r="21">
      <c r="A21" t="n">
        <v>20</v>
      </c>
      <c r="B21" s="3" t="n">
        <v>-13725</v>
      </c>
      <c r="D21" t="n">
        <v>20</v>
      </c>
      <c r="E21" s="3" t="n">
        <v>4682</v>
      </c>
      <c r="G21" t="n">
        <v>20</v>
      </c>
      <c r="H21" s="3" t="n">
        <v>-2506</v>
      </c>
      <c r="J21" t="n">
        <v>20</v>
      </c>
      <c r="K21" s="3" t="n"/>
      <c r="M21" t="n">
        <v>20</v>
      </c>
      <c r="N21" s="3" t="n"/>
      <c r="P21" t="n">
        <v>20</v>
      </c>
      <c r="Q21" s="3" t="n"/>
      <c r="S21" t="n">
        <v>20</v>
      </c>
      <c r="T21" s="3" t="n"/>
      <c r="V21" t="n">
        <v>20</v>
      </c>
      <c r="W21" s="3" t="n"/>
      <c r="Y21" t="n">
        <v>20</v>
      </c>
      <c r="Z21" s="3" t="n"/>
      <c r="AB21" t="n">
        <v>20</v>
      </c>
      <c r="AC21" s="3" t="n"/>
      <c r="AE21" t="n">
        <v>20</v>
      </c>
      <c r="AF21" s="3" t="n"/>
      <c r="AH21" t="n">
        <v>20</v>
      </c>
      <c r="AI21" s="3" t="n"/>
    </row>
    <row r="22">
      <c r="A22" t="n">
        <v>21</v>
      </c>
      <c r="D22" t="n">
        <v>21</v>
      </c>
      <c r="E22" s="3" t="n"/>
      <c r="G22" t="n">
        <v>21</v>
      </c>
      <c r="H22" s="3" t="n"/>
      <c r="J22" t="n">
        <v>21</v>
      </c>
      <c r="K22" s="3" t="n"/>
      <c r="M22" t="n">
        <v>21</v>
      </c>
      <c r="N22" s="3" t="n"/>
      <c r="P22" t="n">
        <v>21</v>
      </c>
      <c r="Q22" s="3" t="n"/>
      <c r="S22" t="n">
        <v>21</v>
      </c>
      <c r="T22" s="3" t="n"/>
      <c r="V22" t="n">
        <v>21</v>
      </c>
      <c r="W22" s="3" t="n"/>
      <c r="Y22" t="n">
        <v>21</v>
      </c>
      <c r="Z22" s="3" t="n"/>
      <c r="AB22" t="n">
        <v>21</v>
      </c>
      <c r="AC22" s="3" t="n"/>
      <c r="AE22" t="n">
        <v>21</v>
      </c>
      <c r="AF22" s="3" t="n"/>
      <c r="AH22" t="n">
        <v>21</v>
      </c>
      <c r="AI22" s="3" t="n"/>
    </row>
    <row r="23">
      <c r="A23" t="n">
        <v>22</v>
      </c>
      <c r="D23" t="n">
        <v>22</v>
      </c>
      <c r="E23" s="3" t="n"/>
      <c r="G23" t="n">
        <v>22</v>
      </c>
      <c r="H23" s="3" t="n"/>
      <c r="J23" t="n">
        <v>22</v>
      </c>
      <c r="K23" s="3" t="n"/>
      <c r="M23" t="n">
        <v>22</v>
      </c>
      <c r="N23" s="3" t="n"/>
      <c r="P23" t="n">
        <v>22</v>
      </c>
      <c r="Q23" s="3" t="n"/>
      <c r="S23" t="n">
        <v>22</v>
      </c>
      <c r="T23" s="3" t="n"/>
      <c r="V23" t="n">
        <v>22</v>
      </c>
      <c r="W23" s="3" t="n"/>
      <c r="Y23" t="n">
        <v>22</v>
      </c>
      <c r="Z23" s="3" t="n"/>
      <c r="AB23" t="n">
        <v>22</v>
      </c>
      <c r="AC23" s="3" t="n"/>
      <c r="AE23" t="n">
        <v>22</v>
      </c>
      <c r="AF23" s="3" t="n"/>
      <c r="AH23" t="n">
        <v>22</v>
      </c>
      <c r="AI23" s="3" t="n"/>
    </row>
    <row r="24">
      <c r="A24" t="n">
        <v>23</v>
      </c>
      <c r="B24" s="3" t="n">
        <v>4935</v>
      </c>
      <c r="D24" t="n">
        <v>23</v>
      </c>
      <c r="E24" s="3" t="n">
        <v>-4445</v>
      </c>
      <c r="G24" t="n">
        <v>23</v>
      </c>
      <c r="H24" s="3" t="n"/>
      <c r="J24" t="n">
        <v>23</v>
      </c>
      <c r="K24" s="3" t="n"/>
      <c r="M24" t="n">
        <v>23</v>
      </c>
      <c r="N24" s="3" t="n"/>
      <c r="P24" t="n">
        <v>23</v>
      </c>
      <c r="Q24" s="3" t="n"/>
      <c r="S24" t="n">
        <v>23</v>
      </c>
      <c r="T24" s="3" t="n"/>
      <c r="V24" t="n">
        <v>23</v>
      </c>
      <c r="W24" s="3" t="n"/>
      <c r="Y24" t="n">
        <v>23</v>
      </c>
      <c r="Z24" s="3" t="n"/>
      <c r="AB24" t="n">
        <v>23</v>
      </c>
      <c r="AC24" s="3" t="n"/>
      <c r="AE24" t="n">
        <v>23</v>
      </c>
      <c r="AF24" s="3" t="n"/>
      <c r="AH24" t="n">
        <v>23</v>
      </c>
      <c r="AI24" s="3" t="n"/>
    </row>
    <row r="25">
      <c r="A25" t="n">
        <v>24</v>
      </c>
      <c r="D25" t="n">
        <v>24</v>
      </c>
      <c r="E25" s="3" t="n">
        <v>4900</v>
      </c>
      <c r="G25" t="n">
        <v>24</v>
      </c>
      <c r="H25" s="3" t="n">
        <v>5580</v>
      </c>
      <c r="J25" t="n">
        <v>24</v>
      </c>
      <c r="K25" s="3" t="n"/>
      <c r="M25" t="n">
        <v>24</v>
      </c>
      <c r="N25" s="3" t="n"/>
      <c r="P25" t="n">
        <v>24</v>
      </c>
      <c r="Q25" s="3" t="n"/>
      <c r="S25" t="n">
        <v>24</v>
      </c>
      <c r="T25" s="3" t="n"/>
      <c r="V25" t="n">
        <v>24</v>
      </c>
      <c r="W25" s="3" t="n"/>
      <c r="Y25" t="n">
        <v>24</v>
      </c>
      <c r="Z25" s="3" t="n"/>
      <c r="AB25" t="n">
        <v>24</v>
      </c>
      <c r="AC25" s="3" t="n"/>
      <c r="AE25" t="n">
        <v>24</v>
      </c>
      <c r="AF25" s="3" t="n"/>
      <c r="AH25" t="n">
        <v>24</v>
      </c>
      <c r="AI25" s="3" t="n"/>
    </row>
    <row r="26">
      <c r="A26" t="n">
        <v>25</v>
      </c>
      <c r="D26" t="n">
        <v>25</v>
      </c>
      <c r="E26" s="3" t="n"/>
      <c r="G26" t="n">
        <v>25</v>
      </c>
      <c r="H26" s="3" t="n"/>
      <c r="J26" t="n">
        <v>25</v>
      </c>
      <c r="K26" s="3" t="n"/>
      <c r="M26" t="n">
        <v>25</v>
      </c>
      <c r="N26" s="3" t="n"/>
      <c r="P26" t="n">
        <v>25</v>
      </c>
      <c r="Q26" s="3" t="n"/>
      <c r="S26" t="n">
        <v>25</v>
      </c>
      <c r="T26" s="3" t="n"/>
      <c r="V26" t="n">
        <v>25</v>
      </c>
      <c r="W26" s="3" t="n"/>
      <c r="Y26" t="n">
        <v>25</v>
      </c>
      <c r="Z26" s="3" t="n"/>
      <c r="AB26" t="n">
        <v>25</v>
      </c>
      <c r="AC26" s="3" t="n"/>
      <c r="AE26" t="n">
        <v>25</v>
      </c>
      <c r="AF26" s="3" t="n"/>
      <c r="AH26" t="n">
        <v>25</v>
      </c>
      <c r="AI26" s="3" t="n"/>
    </row>
    <row r="27">
      <c r="A27" t="n">
        <v>26</v>
      </c>
      <c r="B27" s="3" t="n">
        <v>3110</v>
      </c>
      <c r="D27" t="n">
        <v>26</v>
      </c>
      <c r="E27" s="3" t="n">
        <v>5640</v>
      </c>
      <c r="G27" t="n">
        <v>26</v>
      </c>
      <c r="H27" s="3" t="n">
        <v>-19795</v>
      </c>
      <c r="J27" t="n">
        <v>26</v>
      </c>
      <c r="K27" s="3" t="n"/>
      <c r="M27" t="n">
        <v>26</v>
      </c>
      <c r="N27" s="3" t="n"/>
      <c r="P27" t="n">
        <v>26</v>
      </c>
      <c r="Q27" s="3" t="n"/>
      <c r="S27" t="n">
        <v>26</v>
      </c>
      <c r="T27" s="3" t="n"/>
      <c r="V27" t="n">
        <v>26</v>
      </c>
      <c r="W27" s="3" t="n"/>
      <c r="Y27" t="n">
        <v>26</v>
      </c>
      <c r="Z27" s="3" t="n"/>
      <c r="AB27" t="n">
        <v>26</v>
      </c>
      <c r="AC27" s="3" t="n"/>
      <c r="AE27" t="n">
        <v>26</v>
      </c>
      <c r="AF27" s="3" t="n"/>
      <c r="AH27" t="n">
        <v>26</v>
      </c>
      <c r="AI27" s="3" t="n"/>
    </row>
    <row r="28">
      <c r="A28" t="n">
        <v>27</v>
      </c>
      <c r="D28" t="n">
        <v>27</v>
      </c>
      <c r="E28" s="3" t="n">
        <v>710</v>
      </c>
      <c r="G28" t="n">
        <v>27</v>
      </c>
      <c r="H28" s="3" t="n">
        <v>-830</v>
      </c>
      <c r="J28" t="n">
        <v>27</v>
      </c>
      <c r="K28" s="3" t="n"/>
      <c r="M28" t="n">
        <v>27</v>
      </c>
      <c r="N28" s="3" t="n"/>
      <c r="P28" t="n">
        <v>27</v>
      </c>
      <c r="Q28" s="3" t="n"/>
      <c r="S28" t="n">
        <v>27</v>
      </c>
      <c r="T28" s="3" t="n"/>
      <c r="V28" t="n">
        <v>27</v>
      </c>
      <c r="W28" s="3" t="n"/>
      <c r="Y28" t="n">
        <v>27</v>
      </c>
      <c r="Z28" s="3" t="n"/>
      <c r="AB28" t="n">
        <v>27</v>
      </c>
      <c r="AC28" s="3" t="n"/>
      <c r="AE28" t="n">
        <v>27</v>
      </c>
      <c r="AF28" s="3" t="n"/>
      <c r="AH28" t="n">
        <v>27</v>
      </c>
      <c r="AI28" s="3" t="n"/>
    </row>
    <row r="29">
      <c r="A29" t="n">
        <v>28</v>
      </c>
      <c r="D29" t="n">
        <v>28</v>
      </c>
      <c r="E29" s="3" t="n"/>
      <c r="G29" t="n">
        <v>28</v>
      </c>
      <c r="H29" s="3" t="n"/>
      <c r="J29" t="n">
        <v>28</v>
      </c>
      <c r="K29" s="3" t="n"/>
      <c r="M29" t="n">
        <v>28</v>
      </c>
      <c r="N29" s="3" t="n"/>
      <c r="P29" t="n">
        <v>28</v>
      </c>
      <c r="Q29" s="3" t="n"/>
      <c r="S29" t="n">
        <v>28</v>
      </c>
      <c r="T29" s="3" t="n"/>
      <c r="V29" t="n">
        <v>28</v>
      </c>
      <c r="W29" s="3" t="n"/>
      <c r="Y29" t="n">
        <v>28</v>
      </c>
      <c r="Z29" s="3" t="n"/>
      <c r="AB29" t="n">
        <v>28</v>
      </c>
      <c r="AC29" s="3" t="n"/>
      <c r="AE29" t="n">
        <v>28</v>
      </c>
      <c r="AF29" s="3" t="n"/>
      <c r="AH29" t="n">
        <v>28</v>
      </c>
      <c r="AI29" s="3" t="n"/>
    </row>
    <row r="30">
      <c r="A30" t="n">
        <v>29</v>
      </c>
      <c r="B30" s="3" t="n">
        <v>-1192</v>
      </c>
      <c r="D30" t="n">
        <v>29</v>
      </c>
      <c r="E30" s="3" t="n"/>
      <c r="G30" t="n">
        <v>29</v>
      </c>
      <c r="H30" s="3" t="n"/>
      <c r="J30" t="n">
        <v>29</v>
      </c>
      <c r="K30" s="3" t="n"/>
      <c r="M30" t="n">
        <v>29</v>
      </c>
      <c r="N30" s="3" t="n"/>
      <c r="P30" t="n">
        <v>29</v>
      </c>
      <c r="Q30" s="3" t="n"/>
      <c r="S30" t="n">
        <v>29</v>
      </c>
      <c r="T30" s="3" t="n"/>
      <c r="V30" t="n">
        <v>29</v>
      </c>
      <c r="W30" s="3" t="n"/>
      <c r="Y30" t="n">
        <v>29</v>
      </c>
      <c r="Z30" s="3" t="n"/>
      <c r="AB30" t="n">
        <v>29</v>
      </c>
      <c r="AC30" s="3" t="n"/>
      <c r="AE30" t="n">
        <v>29</v>
      </c>
      <c r="AF30" s="3" t="n"/>
      <c r="AH30" t="n">
        <v>29</v>
      </c>
      <c r="AI30" s="3" t="n"/>
    </row>
    <row r="31">
      <c r="A31" t="n">
        <v>30</v>
      </c>
      <c r="B31" s="3" t="n">
        <v>4915</v>
      </c>
      <c r="D31" t="n">
        <v>30</v>
      </c>
      <c r="E31" s="3" t="n"/>
      <c r="G31" t="n">
        <v>30</v>
      </c>
      <c r="H31" s="3" t="n"/>
      <c r="J31" t="n">
        <v>30</v>
      </c>
      <c r="K31" s="3" t="n"/>
      <c r="M31" t="n">
        <v>30</v>
      </c>
      <c r="N31" s="3" t="n"/>
      <c r="P31" t="n">
        <v>30</v>
      </c>
      <c r="S31" t="n">
        <v>30</v>
      </c>
      <c r="V31" t="n">
        <v>30</v>
      </c>
      <c r="Y31" t="n">
        <v>30</v>
      </c>
      <c r="AB31" t="n">
        <v>30</v>
      </c>
      <c r="AC31" s="3" t="n"/>
      <c r="AE31" t="n">
        <v>30</v>
      </c>
      <c r="AF31" s="3" t="n"/>
      <c r="AH31" t="n">
        <v>30</v>
      </c>
      <c r="AI31" s="3" t="n"/>
    </row>
    <row r="32">
      <c r="A32" t="n">
        <v>31</v>
      </c>
      <c r="D32" t="n">
        <v>31</v>
      </c>
      <c r="E32" s="3" t="n"/>
      <c r="G32" t="n">
        <v>31</v>
      </c>
      <c r="H32" s="3" t="n"/>
      <c r="J32" t="n">
        <v>31</v>
      </c>
      <c r="K32" s="3" t="n"/>
      <c r="M32" t="n">
        <v>31</v>
      </c>
      <c r="N32" s="3" t="n"/>
      <c r="P32" t="n">
        <v>31</v>
      </c>
      <c r="S32" t="n">
        <v>31</v>
      </c>
      <c r="V32" t="n">
        <v>31</v>
      </c>
      <c r="Y32" t="n">
        <v>31</v>
      </c>
      <c r="AB32" t="n">
        <v>31</v>
      </c>
      <c r="AC32" s="3" t="n"/>
      <c r="AE32" t="n">
        <v>31</v>
      </c>
      <c r="AF32" s="3" t="n"/>
      <c r="AH32" t="n">
        <v>31</v>
      </c>
      <c r="AI32" s="3" t="n"/>
    </row>
    <row r="33">
      <c r="E33" s="3" t="n"/>
      <c r="H33" s="3" t="n"/>
    </row>
    <row r="34">
      <c r="E34" s="3" t="n"/>
      <c r="H34" s="3" t="n"/>
    </row>
    <row r="35">
      <c r="A35" t="inlineStr">
        <is>
          <t>Total</t>
        </is>
      </c>
      <c r="B35" s="3">
        <f>SUM(B2:B34)</f>
        <v/>
      </c>
      <c r="E35" s="3">
        <f>SUM(E2:E28)</f>
        <v/>
      </c>
      <c r="H35" s="3">
        <f>SUM(H2:H34)</f>
        <v/>
      </c>
      <c r="K35" s="3">
        <f>SUM(K2:K34)</f>
        <v/>
      </c>
      <c r="N35" s="3">
        <f>SUM(N2:N34)</f>
        <v/>
      </c>
      <c r="Q35" s="3">
        <f>SUM(Q2:Q34)</f>
        <v/>
      </c>
      <c r="T35" s="3">
        <f>SUM(T2:T34)</f>
        <v/>
      </c>
      <c r="W35" s="3">
        <f>SUM(W2:W34)</f>
        <v/>
      </c>
      <c r="Z35" s="3">
        <f>SUM(Z2:Z34)</f>
        <v/>
      </c>
      <c r="AC35" s="3">
        <f>SUM(AC2:AC34)</f>
        <v/>
      </c>
      <c r="AF35" s="3">
        <f>SUM(AF2:AF34)</f>
        <v/>
      </c>
      <c r="AI35" s="3">
        <f>SUM(AI2:AI34)</f>
        <v/>
      </c>
    </row>
  </sheetData>
  <mergeCells count="3">
    <mergeCell ref="D1:E1"/>
    <mergeCell ref="G1:H1"/>
    <mergeCell ref="A1:B1"/>
  </mergeCells>
  <conditionalFormatting sqref="B2:B32">
    <cfRule type="cellIs" priority="43" operator="lessThan" dxfId="1">
      <formula>0</formula>
    </cfRule>
    <cfRule type="cellIs" priority="44" operator="greaterThan" dxfId="0">
      <formula>0</formula>
    </cfRule>
  </conditionalFormatting>
  <conditionalFormatting sqref="B35">
    <cfRule type="cellIs" priority="42" operator="greaterThan" dxfId="0">
      <formula>0</formula>
    </cfRule>
    <cfRule type="cellIs" priority="41" operator="lessThan" dxfId="1">
      <formula>0</formula>
    </cfRule>
  </conditionalFormatting>
  <conditionalFormatting sqref="E2:E35">
    <cfRule type="cellIs" priority="39" operator="lessThan" dxfId="1">
      <formula>0</formula>
    </cfRule>
    <cfRule type="cellIs" priority="40" operator="greaterThan" dxfId="0">
      <formula>0</formula>
    </cfRule>
  </conditionalFormatting>
  <conditionalFormatting sqref="H2:H35">
    <cfRule type="cellIs" priority="34" operator="greaterThan" dxfId="0">
      <formula>0</formula>
    </cfRule>
    <cfRule type="cellIs" priority="33" operator="lessThan" dxfId="1">
      <formula>0</formula>
    </cfRule>
  </conditionalFormatting>
  <conditionalFormatting sqref="K2:K32">
    <cfRule type="cellIs" priority="38" operator="greaterThan" dxfId="0">
      <formula>0</formula>
    </cfRule>
    <cfRule type="cellIs" priority="37" operator="lessThan" dxfId="1">
      <formula>0</formula>
    </cfRule>
  </conditionalFormatting>
  <conditionalFormatting sqref="K35">
    <cfRule type="cellIs" priority="36" operator="greaterThan" dxfId="0">
      <formula>0</formula>
    </cfRule>
    <cfRule type="cellIs" priority="35" operator="lessThan" dxfId="1">
      <formula>0</formula>
    </cfRule>
  </conditionalFormatting>
  <conditionalFormatting sqref="N2:N32">
    <cfRule type="cellIs" priority="32" operator="greaterThan" dxfId="0">
      <formula>0</formula>
    </cfRule>
    <cfRule type="cellIs" priority="31" operator="lessThan" dxfId="1">
      <formula>0</formula>
    </cfRule>
  </conditionalFormatting>
  <conditionalFormatting sqref="N35">
    <cfRule type="cellIs" priority="30" operator="greaterThan" dxfId="0">
      <formula>0</formula>
    </cfRule>
    <cfRule type="cellIs" priority="29" operator="lessThan" dxfId="1">
      <formula>0</formula>
    </cfRule>
  </conditionalFormatting>
  <conditionalFormatting sqref="Q2:Q30">
    <cfRule type="cellIs" priority="28" operator="greaterThan" dxfId="0">
      <formula>0</formula>
    </cfRule>
    <cfRule type="cellIs" priority="27" operator="lessThan" dxfId="1">
      <formula>0</formula>
    </cfRule>
  </conditionalFormatting>
  <conditionalFormatting sqref="Q35">
    <cfRule type="cellIs" priority="26" operator="greaterThan" dxfId="0">
      <formula>0</formula>
    </cfRule>
    <cfRule type="cellIs" priority="25" operator="lessThan" dxfId="1">
      <formula>0</formula>
    </cfRule>
  </conditionalFormatting>
  <conditionalFormatting sqref="T2:T30">
    <cfRule type="cellIs" priority="23" operator="lessThan" dxfId="1">
      <formula>0</formula>
    </cfRule>
    <cfRule type="cellIs" priority="24" operator="greaterThan" dxfId="0">
      <formula>0</formula>
    </cfRule>
  </conditionalFormatting>
  <conditionalFormatting sqref="T35">
    <cfRule type="cellIs" priority="22" operator="greaterThan" dxfId="0">
      <formula>0</formula>
    </cfRule>
    <cfRule type="cellIs" priority="21" operator="lessThan" dxfId="1">
      <formula>0</formula>
    </cfRule>
  </conditionalFormatting>
  <conditionalFormatting sqref="W2:W30">
    <cfRule type="cellIs" priority="20" operator="greaterThan" dxfId="0">
      <formula>0</formula>
    </cfRule>
    <cfRule type="cellIs" priority="19" operator="lessThan" dxfId="1">
      <formula>0</formula>
    </cfRule>
  </conditionalFormatting>
  <conditionalFormatting sqref="W35">
    <cfRule type="cellIs" priority="18" operator="greaterThan" dxfId="0">
      <formula>0</formula>
    </cfRule>
    <cfRule type="cellIs" priority="17" operator="lessThan" dxfId="1">
      <formula>0</formula>
    </cfRule>
  </conditionalFormatting>
  <conditionalFormatting sqref="Z2:Z30">
    <cfRule type="cellIs" priority="16" operator="greaterThan" dxfId="0">
      <formula>0</formula>
    </cfRule>
    <cfRule type="cellIs" priority="15" operator="lessThan" dxfId="1">
      <formula>0</formula>
    </cfRule>
  </conditionalFormatting>
  <conditionalFormatting sqref="Z35">
    <cfRule type="cellIs" priority="14" operator="greaterThan" dxfId="0">
      <formula>0</formula>
    </cfRule>
    <cfRule type="cellIs" priority="13" operator="lessThan" dxfId="1">
      <formula>0</formula>
    </cfRule>
  </conditionalFormatting>
  <conditionalFormatting sqref="AC2:AC32">
    <cfRule type="cellIs" priority="11" operator="lessThan" dxfId="1">
      <formula>0</formula>
    </cfRule>
    <cfRule type="cellIs" priority="12" operator="greaterThan" dxfId="0">
      <formula>0</formula>
    </cfRule>
  </conditionalFormatting>
  <conditionalFormatting sqref="AC35">
    <cfRule type="cellIs" priority="10" operator="greaterThan" dxfId="0">
      <formula>0</formula>
    </cfRule>
    <cfRule type="cellIs" priority="9" operator="lessThan" dxfId="1">
      <formula>0</formula>
    </cfRule>
  </conditionalFormatting>
  <conditionalFormatting sqref="AF2:AF32">
    <cfRule type="cellIs" priority="8" operator="greaterThan" dxfId="0">
      <formula>0</formula>
    </cfRule>
    <cfRule type="cellIs" priority="7" operator="lessThan" dxfId="1">
      <formula>0</formula>
    </cfRule>
  </conditionalFormatting>
  <conditionalFormatting sqref="AF35">
    <cfRule type="cellIs" priority="6" operator="greaterThan" dxfId="0">
      <formula>0</formula>
    </cfRule>
    <cfRule type="cellIs" priority="5" operator="lessThan" dxfId="1">
      <formula>0</formula>
    </cfRule>
  </conditionalFormatting>
  <conditionalFormatting sqref="AI2:AI32">
    <cfRule type="cellIs" priority="4" operator="greaterThan" dxfId="0">
      <formula>0</formula>
    </cfRule>
    <cfRule type="cellIs" priority="3" operator="lessThan" dxfId="1">
      <formula>0</formula>
    </cfRule>
  </conditionalFormatting>
  <conditionalFormatting sqref="AI35">
    <cfRule type="cellIs" priority="2" operator="greaterThan" dxfId="0">
      <formula>0</formula>
    </cfRule>
    <cfRule type="cellIs" priority="1" operator="lessThan" dxfId="1">
      <formula>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selection activeCell="B35" sqref="B35:H35"/>
    </sheetView>
  </sheetViews>
  <sheetFormatPr baseColWidth="8" defaultRowHeight="15"/>
  <cols>
    <col width="18.42578125" customWidth="1" min="1" max="1"/>
    <col width="15.42578125" customWidth="1" style="3" min="2" max="2"/>
    <col width="11.5703125" customWidth="1" min="4" max="4"/>
    <col width="12.5703125" customWidth="1" min="5" max="5"/>
    <col width="11.5703125" customWidth="1" min="7" max="7"/>
    <col width="12.5703125" customWidth="1" min="8" max="8"/>
    <col width="11.5703125" customWidth="1" min="10" max="10"/>
    <col width="10.140625" bestFit="1" customWidth="1" min="11" max="11"/>
    <col width="10.42578125" bestFit="1" customWidth="1" min="13" max="13"/>
    <col width="10.85546875" bestFit="1" customWidth="1" min="14" max="14"/>
    <col width="10.85546875" bestFit="1" customWidth="1" min="17" max="17"/>
    <col width="10.85546875" bestFit="1" customWidth="1" min="20" max="20"/>
    <col width="10.85546875" bestFit="1" customWidth="1" min="23" max="23"/>
    <col width="10.85546875" bestFit="1" customWidth="1" min="26" max="26"/>
    <col width="10.85546875" bestFit="1" customWidth="1" min="29" max="29"/>
    <col width="10.85546875" bestFit="1" customWidth="1" min="32" max="32"/>
    <col width="10.140625" bestFit="1" customWidth="1" min="35" max="35"/>
  </cols>
  <sheetData>
    <row r="1" customFormat="1" s="2">
      <c r="A1" s="9" t="inlineStr">
        <is>
          <t>January</t>
        </is>
      </c>
      <c r="D1" s="9" t="inlineStr">
        <is>
          <t>February</t>
        </is>
      </c>
      <c r="G1" s="9" t="inlineStr">
        <is>
          <t>March</t>
        </is>
      </c>
      <c r="J1" s="2" t="inlineStr">
        <is>
          <t>April</t>
        </is>
      </c>
      <c r="M1" s="2" t="inlineStr">
        <is>
          <t>May</t>
        </is>
      </c>
      <c r="P1" s="2" t="inlineStr">
        <is>
          <t>Jun</t>
        </is>
      </c>
      <c r="S1" s="2" t="inlineStr">
        <is>
          <t>Jul</t>
        </is>
      </c>
      <c r="V1" s="2" t="inlineStr">
        <is>
          <t>Aug</t>
        </is>
      </c>
      <c r="Y1" s="2" t="inlineStr">
        <is>
          <t>Sep</t>
        </is>
      </c>
      <c r="AB1" s="2" t="inlineStr">
        <is>
          <t>Oct</t>
        </is>
      </c>
      <c r="AE1" s="2" t="inlineStr">
        <is>
          <t>Nov</t>
        </is>
      </c>
      <c r="AH1" s="2" t="inlineStr">
        <is>
          <t>Dec</t>
        </is>
      </c>
    </row>
    <row r="2">
      <c r="A2" t="n">
        <v>1</v>
      </c>
      <c r="D2" t="n">
        <v>1</v>
      </c>
      <c r="E2" s="3" t="n"/>
      <c r="G2" t="n">
        <v>1</v>
      </c>
      <c r="H2" s="3" t="n"/>
      <c r="J2" t="n">
        <v>1</v>
      </c>
      <c r="K2" s="3" t="n"/>
      <c r="M2" t="n">
        <v>1</v>
      </c>
      <c r="N2" s="3" t="n"/>
      <c r="P2" t="n">
        <v>1</v>
      </c>
      <c r="Q2" s="3" t="n"/>
      <c r="S2" t="n">
        <v>1</v>
      </c>
      <c r="T2" s="3" t="n"/>
      <c r="V2" t="n">
        <v>1</v>
      </c>
      <c r="W2" s="3" t="n"/>
      <c r="Y2" t="n">
        <v>1</v>
      </c>
      <c r="Z2" s="3" t="n"/>
      <c r="AB2" t="n">
        <v>1</v>
      </c>
      <c r="AC2" s="3" t="n"/>
      <c r="AE2" t="n">
        <v>1</v>
      </c>
      <c r="AF2" s="3" t="n"/>
      <c r="AH2" t="n">
        <v>1</v>
      </c>
      <c r="AI2" s="3" t="n"/>
    </row>
    <row r="3">
      <c r="A3" t="n">
        <v>2</v>
      </c>
      <c r="B3" s="3" t="n">
        <v>-2470</v>
      </c>
      <c r="D3" t="n">
        <v>2</v>
      </c>
      <c r="E3" s="3" t="n">
        <v>-1870</v>
      </c>
      <c r="G3" t="n">
        <v>2</v>
      </c>
      <c r="H3" s="3" t="n">
        <v>3315</v>
      </c>
      <c r="J3" t="n">
        <v>2</v>
      </c>
      <c r="K3" s="3" t="n"/>
      <c r="M3" t="n">
        <v>2</v>
      </c>
      <c r="N3" s="3" t="n"/>
      <c r="P3" t="n">
        <v>2</v>
      </c>
      <c r="Q3" s="3" t="n"/>
      <c r="S3" t="n">
        <v>2</v>
      </c>
      <c r="T3" s="3" t="n"/>
      <c r="V3" t="n">
        <v>2</v>
      </c>
      <c r="W3" s="3" t="n"/>
      <c r="Y3" t="n">
        <v>2</v>
      </c>
      <c r="Z3" s="3" t="n"/>
      <c r="AB3" t="n">
        <v>2</v>
      </c>
      <c r="AC3" s="3" t="n"/>
      <c r="AE3" t="n">
        <v>2</v>
      </c>
      <c r="AF3" s="3" t="n"/>
      <c r="AH3" t="n">
        <v>2</v>
      </c>
      <c r="AI3" s="3" t="n"/>
    </row>
    <row r="4">
      <c r="A4" t="n">
        <v>3</v>
      </c>
      <c r="D4" t="n">
        <v>3</v>
      </c>
      <c r="E4" s="3" t="n">
        <v>-680</v>
      </c>
      <c r="G4" t="n">
        <v>3</v>
      </c>
      <c r="H4" s="3" t="n">
        <v>1386</v>
      </c>
      <c r="J4" t="n">
        <v>3</v>
      </c>
      <c r="K4" s="3" t="n"/>
      <c r="M4" t="n">
        <v>3</v>
      </c>
      <c r="N4" s="3" t="n"/>
      <c r="P4" t="n">
        <v>3</v>
      </c>
      <c r="Q4" s="3" t="n"/>
      <c r="S4" t="n">
        <v>3</v>
      </c>
      <c r="T4" s="3" t="n"/>
      <c r="V4" t="n">
        <v>3</v>
      </c>
      <c r="W4" s="3" t="n"/>
      <c r="Y4" t="n">
        <v>3</v>
      </c>
      <c r="Z4" s="3" t="n"/>
      <c r="AB4" t="n">
        <v>3</v>
      </c>
      <c r="AC4" s="3" t="n"/>
      <c r="AE4" t="n">
        <v>3</v>
      </c>
      <c r="AF4" s="3" t="n"/>
      <c r="AH4" t="n">
        <v>3</v>
      </c>
      <c r="AI4" s="3" t="n"/>
    </row>
    <row r="5">
      <c r="A5" t="n">
        <v>4</v>
      </c>
      <c r="D5" t="n">
        <v>4</v>
      </c>
      <c r="E5" s="3" t="n">
        <v>-2450</v>
      </c>
      <c r="G5" t="n">
        <v>4</v>
      </c>
      <c r="H5" s="3" t="n"/>
      <c r="J5" t="n">
        <v>4</v>
      </c>
      <c r="K5" s="3" t="n"/>
      <c r="M5" t="n">
        <v>4</v>
      </c>
      <c r="N5" s="3" t="n"/>
      <c r="P5" t="n">
        <v>4</v>
      </c>
      <c r="Q5" s="3" t="n"/>
      <c r="S5" t="n">
        <v>4</v>
      </c>
      <c r="T5" s="3" t="n"/>
      <c r="V5" t="n">
        <v>4</v>
      </c>
      <c r="W5" s="3" t="n"/>
      <c r="Y5" t="n">
        <v>4</v>
      </c>
      <c r="Z5" s="3" t="n"/>
      <c r="AB5" t="n">
        <v>4</v>
      </c>
      <c r="AC5" s="3" t="n"/>
      <c r="AE5" t="n">
        <v>4</v>
      </c>
      <c r="AF5" s="3" t="n"/>
      <c r="AH5" t="n">
        <v>4</v>
      </c>
      <c r="AI5" s="3" t="n"/>
    </row>
    <row r="6">
      <c r="A6" t="n">
        <v>5</v>
      </c>
      <c r="D6" t="n">
        <v>5</v>
      </c>
      <c r="E6" s="3" t="n">
        <v>30</v>
      </c>
      <c r="G6" t="n">
        <v>5</v>
      </c>
      <c r="H6" s="3" t="n">
        <v>-2170</v>
      </c>
      <c r="J6" t="n">
        <v>5</v>
      </c>
      <c r="K6" s="3" t="n"/>
      <c r="M6" t="n">
        <v>5</v>
      </c>
      <c r="N6" s="3" t="n"/>
      <c r="P6" t="n">
        <v>5</v>
      </c>
      <c r="Q6" s="3" t="n"/>
      <c r="S6" t="n">
        <v>5</v>
      </c>
      <c r="T6" s="3" t="n"/>
      <c r="V6" t="n">
        <v>5</v>
      </c>
      <c r="W6" s="3" t="n"/>
      <c r="Y6" t="n">
        <v>5</v>
      </c>
      <c r="Z6" s="3" t="n"/>
      <c r="AB6" t="n">
        <v>5</v>
      </c>
      <c r="AC6" s="3" t="n"/>
      <c r="AE6" t="n">
        <v>5</v>
      </c>
      <c r="AF6" s="3" t="n"/>
      <c r="AH6" t="n">
        <v>5</v>
      </c>
      <c r="AI6" s="3" t="n"/>
    </row>
    <row r="7">
      <c r="A7" t="n">
        <v>6</v>
      </c>
      <c r="B7" s="3" t="n">
        <v>-1690</v>
      </c>
      <c r="D7" t="n">
        <v>6</v>
      </c>
      <c r="E7" s="3" t="n">
        <v>-1445</v>
      </c>
      <c r="G7" t="n">
        <v>6</v>
      </c>
      <c r="H7" s="3" t="n"/>
      <c r="J7" t="n">
        <v>6</v>
      </c>
      <c r="K7" s="3" t="n"/>
      <c r="M7" t="n">
        <v>6</v>
      </c>
      <c r="N7" s="3" t="n"/>
      <c r="P7" t="n">
        <v>6</v>
      </c>
      <c r="Q7" s="3" t="n"/>
      <c r="S7" t="n">
        <v>6</v>
      </c>
      <c r="T7" s="3" t="n"/>
      <c r="V7" t="n">
        <v>6</v>
      </c>
      <c r="W7" s="3" t="n"/>
      <c r="Y7" t="n">
        <v>6</v>
      </c>
      <c r="Z7" s="3" t="n"/>
      <c r="AB7" t="n">
        <v>6</v>
      </c>
      <c r="AC7" s="3" t="n"/>
      <c r="AE7" t="n">
        <v>6</v>
      </c>
      <c r="AF7" s="3" t="n"/>
      <c r="AH7" t="n">
        <v>6</v>
      </c>
      <c r="AI7" s="3" t="n"/>
    </row>
    <row r="8">
      <c r="A8" t="n">
        <v>7</v>
      </c>
      <c r="D8" t="n">
        <v>7</v>
      </c>
      <c r="E8" s="3" t="n"/>
      <c r="G8" t="n">
        <v>7</v>
      </c>
      <c r="H8" s="3" t="n"/>
      <c r="J8" t="n">
        <v>7</v>
      </c>
      <c r="K8" s="3" t="n"/>
      <c r="M8" t="n">
        <v>7</v>
      </c>
      <c r="N8" s="3" t="n"/>
      <c r="P8" t="n">
        <v>7</v>
      </c>
      <c r="Q8" s="3" t="n"/>
      <c r="S8" t="n">
        <v>7</v>
      </c>
      <c r="T8" s="3" t="n"/>
      <c r="V8" t="n">
        <v>7</v>
      </c>
      <c r="W8" s="3" t="n"/>
      <c r="Y8" t="n">
        <v>7</v>
      </c>
      <c r="Z8" s="3" t="n"/>
      <c r="AB8" t="n">
        <v>7</v>
      </c>
      <c r="AC8" s="3" t="n"/>
      <c r="AE8" t="n">
        <v>7</v>
      </c>
      <c r="AF8" s="3" t="n"/>
      <c r="AH8" t="n">
        <v>7</v>
      </c>
      <c r="AI8" s="3" t="n"/>
    </row>
    <row r="9">
      <c r="A9" t="n">
        <v>8</v>
      </c>
      <c r="B9" s="3" t="n">
        <v>2630</v>
      </c>
      <c r="D9" t="n">
        <v>8</v>
      </c>
      <c r="E9" s="3" t="n"/>
      <c r="G9" t="n">
        <v>8</v>
      </c>
      <c r="H9" s="3" t="n"/>
      <c r="J9" t="n">
        <v>8</v>
      </c>
      <c r="K9" s="3" t="n"/>
      <c r="M9" t="n">
        <v>8</v>
      </c>
      <c r="N9" s="3" t="n"/>
      <c r="P9" t="n">
        <v>8</v>
      </c>
      <c r="Q9" s="3" t="n"/>
      <c r="S9" t="n">
        <v>8</v>
      </c>
      <c r="T9" s="3" t="n"/>
      <c r="V9" t="n">
        <v>8</v>
      </c>
      <c r="W9" s="3" t="n"/>
      <c r="Y9" t="n">
        <v>8</v>
      </c>
      <c r="Z9" s="3" t="n"/>
      <c r="AB9" t="n">
        <v>8</v>
      </c>
      <c r="AC9" s="3" t="n"/>
      <c r="AE9" t="n">
        <v>8</v>
      </c>
      <c r="AF9" s="3" t="n"/>
      <c r="AH9" t="n">
        <v>8</v>
      </c>
      <c r="AI9" s="3" t="n"/>
    </row>
    <row r="10">
      <c r="A10" t="n">
        <v>9</v>
      </c>
      <c r="B10" s="3" t="n">
        <v>1630</v>
      </c>
      <c r="D10" t="n">
        <v>9</v>
      </c>
      <c r="E10" s="3" t="n">
        <v>1960</v>
      </c>
      <c r="G10" t="n">
        <v>9</v>
      </c>
      <c r="H10" s="3" t="n"/>
      <c r="J10" t="n">
        <v>9</v>
      </c>
      <c r="K10" s="3" t="n"/>
      <c r="M10" t="n">
        <v>9</v>
      </c>
      <c r="N10" s="3" t="n"/>
      <c r="P10" t="n">
        <v>9</v>
      </c>
      <c r="Q10" s="3" t="n"/>
      <c r="S10" t="n">
        <v>9</v>
      </c>
      <c r="T10" s="3" t="n"/>
      <c r="V10" t="n">
        <v>9</v>
      </c>
      <c r="W10" s="3" t="n"/>
      <c r="Y10" t="n">
        <v>9</v>
      </c>
      <c r="Z10" s="3" t="n"/>
      <c r="AB10" t="n">
        <v>9</v>
      </c>
      <c r="AC10" s="3" t="n"/>
      <c r="AE10" t="n">
        <v>9</v>
      </c>
      <c r="AF10" s="3" t="n"/>
      <c r="AH10" t="n">
        <v>9</v>
      </c>
      <c r="AI10" s="3" t="n"/>
    </row>
    <row r="11">
      <c r="A11" t="n">
        <v>10</v>
      </c>
      <c r="D11" t="n">
        <v>10</v>
      </c>
      <c r="E11" s="3" t="n">
        <v>-375</v>
      </c>
      <c r="G11" t="n">
        <v>10</v>
      </c>
      <c r="H11" s="3" t="n">
        <v>-3910</v>
      </c>
      <c r="J11" t="n">
        <v>10</v>
      </c>
      <c r="K11" s="3" t="n"/>
      <c r="M11" t="n">
        <v>10</v>
      </c>
      <c r="N11" s="3" t="n"/>
      <c r="P11" t="n">
        <v>10</v>
      </c>
      <c r="Q11" s="3" t="n"/>
      <c r="S11" t="n">
        <v>10</v>
      </c>
      <c r="T11" s="3" t="n"/>
      <c r="V11" t="n">
        <v>10</v>
      </c>
      <c r="W11" s="3" t="n"/>
      <c r="Y11" t="n">
        <v>10</v>
      </c>
      <c r="Z11" s="3" t="n"/>
      <c r="AB11" t="n">
        <v>10</v>
      </c>
      <c r="AC11" s="3" t="n"/>
      <c r="AE11" t="n">
        <v>10</v>
      </c>
      <c r="AF11" s="3" t="n"/>
      <c r="AH11" t="n">
        <v>10</v>
      </c>
      <c r="AI11" s="3" t="n"/>
    </row>
    <row r="12">
      <c r="A12" t="n">
        <v>11</v>
      </c>
      <c r="D12" t="n">
        <v>11</v>
      </c>
      <c r="E12" s="3" t="n"/>
      <c r="G12" t="n">
        <v>11</v>
      </c>
      <c r="H12" s="3" t="n"/>
      <c r="J12" t="n">
        <v>11</v>
      </c>
      <c r="K12" s="3" t="n"/>
      <c r="M12" t="n">
        <v>11</v>
      </c>
      <c r="N12" s="3" t="n"/>
      <c r="P12" t="n">
        <v>11</v>
      </c>
      <c r="Q12" s="3" t="n"/>
      <c r="S12" t="n">
        <v>11</v>
      </c>
      <c r="T12" s="3" t="n"/>
      <c r="V12" t="n">
        <v>11</v>
      </c>
      <c r="W12" s="3" t="n"/>
      <c r="Y12" t="n">
        <v>11</v>
      </c>
      <c r="Z12" s="3" t="n"/>
      <c r="AB12" t="n">
        <v>11</v>
      </c>
      <c r="AC12" s="3" t="n"/>
      <c r="AE12" t="n">
        <v>11</v>
      </c>
      <c r="AF12" s="3" t="n"/>
      <c r="AH12" t="n">
        <v>11</v>
      </c>
      <c r="AI12" s="3" t="n"/>
    </row>
    <row r="13">
      <c r="A13" t="n">
        <v>12</v>
      </c>
      <c r="B13" s="3" t="n">
        <v>1380</v>
      </c>
      <c r="D13" t="n">
        <v>12</v>
      </c>
      <c r="E13" s="3" t="n"/>
      <c r="G13" t="n">
        <v>12</v>
      </c>
      <c r="H13" s="3" t="n">
        <v>140</v>
      </c>
      <c r="J13" t="n">
        <v>12</v>
      </c>
      <c r="K13" s="3" t="n"/>
      <c r="M13" t="n">
        <v>12</v>
      </c>
      <c r="N13" s="3" t="n"/>
      <c r="P13" t="n">
        <v>12</v>
      </c>
      <c r="Q13" s="3" t="n"/>
      <c r="S13" t="n">
        <v>12</v>
      </c>
      <c r="T13" s="3" t="n"/>
      <c r="V13" t="n">
        <v>12</v>
      </c>
      <c r="W13" s="3" t="n"/>
      <c r="Y13" t="n">
        <v>12</v>
      </c>
      <c r="Z13" s="3" t="n"/>
      <c r="AB13" t="n">
        <v>12</v>
      </c>
      <c r="AC13" s="3" t="n"/>
      <c r="AE13" t="n">
        <v>12</v>
      </c>
      <c r="AF13" s="3" t="n"/>
      <c r="AH13" t="n">
        <v>12</v>
      </c>
      <c r="AI13" s="3" t="n"/>
    </row>
    <row r="14">
      <c r="A14" t="n">
        <v>13</v>
      </c>
      <c r="B14" s="3" t="n">
        <v>40</v>
      </c>
      <c r="D14" t="n">
        <v>13</v>
      </c>
      <c r="E14" s="3" t="n">
        <v>-170</v>
      </c>
      <c r="G14" t="n">
        <v>13</v>
      </c>
      <c r="H14" s="3" t="n"/>
      <c r="J14" t="n">
        <v>13</v>
      </c>
      <c r="K14" s="3" t="n"/>
      <c r="M14" t="n">
        <v>13</v>
      </c>
      <c r="N14" s="3" t="n"/>
      <c r="P14" t="n">
        <v>13</v>
      </c>
      <c r="Q14" s="3" t="n"/>
      <c r="S14" t="n">
        <v>13</v>
      </c>
      <c r="T14" s="3" t="n"/>
      <c r="V14" t="n">
        <v>13</v>
      </c>
      <c r="W14" s="3" t="n"/>
      <c r="Y14" t="n">
        <v>13</v>
      </c>
      <c r="Z14" s="3" t="n"/>
      <c r="AB14" t="n">
        <v>13</v>
      </c>
      <c r="AC14" s="3" t="n"/>
      <c r="AE14" t="n">
        <v>13</v>
      </c>
      <c r="AF14" s="3" t="n"/>
      <c r="AH14" t="n">
        <v>13</v>
      </c>
      <c r="AI14" s="3" t="n"/>
    </row>
    <row r="15">
      <c r="A15" t="n">
        <v>14</v>
      </c>
      <c r="B15" s="3" t="n">
        <v>-3885</v>
      </c>
      <c r="D15" t="n">
        <v>14</v>
      </c>
      <c r="E15" s="3" t="n"/>
      <c r="G15" t="n">
        <v>14</v>
      </c>
      <c r="H15" s="3" t="n"/>
      <c r="J15" t="n">
        <v>14</v>
      </c>
      <c r="K15" s="3" t="n"/>
      <c r="M15" t="n">
        <v>14</v>
      </c>
      <c r="N15" s="3" t="n"/>
      <c r="P15" t="n">
        <v>14</v>
      </c>
      <c r="Q15" s="3" t="n"/>
      <c r="S15" t="n">
        <v>14</v>
      </c>
      <c r="T15" s="3" t="n"/>
      <c r="V15" t="n">
        <v>14</v>
      </c>
      <c r="W15" s="3" t="n"/>
      <c r="Y15" t="n">
        <v>14</v>
      </c>
      <c r="Z15" s="3" t="n"/>
      <c r="AB15" t="n">
        <v>14</v>
      </c>
      <c r="AC15" s="3" t="n"/>
      <c r="AE15" t="n">
        <v>14</v>
      </c>
      <c r="AF15" s="3" t="n"/>
      <c r="AH15" t="n">
        <v>14</v>
      </c>
      <c r="AI15" s="3" t="n"/>
    </row>
    <row r="16">
      <c r="A16" t="n">
        <v>15</v>
      </c>
      <c r="B16" s="3" t="n">
        <v>-6500</v>
      </c>
      <c r="D16" t="n">
        <v>15</v>
      </c>
      <c r="E16" s="3" t="n"/>
      <c r="G16" t="n">
        <v>15</v>
      </c>
      <c r="H16" s="3" t="n"/>
      <c r="J16" t="n">
        <v>15</v>
      </c>
      <c r="K16" s="3" t="n"/>
      <c r="M16" t="n">
        <v>15</v>
      </c>
      <c r="N16" s="3" t="n"/>
      <c r="P16" t="n">
        <v>15</v>
      </c>
      <c r="Q16" s="3" t="n"/>
      <c r="S16" t="n">
        <v>15</v>
      </c>
      <c r="T16" s="3" t="n"/>
      <c r="V16" t="n">
        <v>15</v>
      </c>
      <c r="W16" s="3" t="n"/>
      <c r="Y16" t="n">
        <v>15</v>
      </c>
      <c r="Z16" s="3" t="n"/>
      <c r="AB16" t="n">
        <v>15</v>
      </c>
      <c r="AC16" s="3" t="n"/>
      <c r="AE16" t="n">
        <v>15</v>
      </c>
      <c r="AF16" s="3" t="n"/>
      <c r="AH16" t="n">
        <v>15</v>
      </c>
      <c r="AI16" s="3" t="n"/>
    </row>
    <row r="17">
      <c r="A17" t="n">
        <v>16</v>
      </c>
      <c r="B17" s="3" t="n">
        <v>865</v>
      </c>
      <c r="D17" t="n">
        <v>16</v>
      </c>
      <c r="E17" s="3" t="n"/>
      <c r="G17" t="n">
        <v>16</v>
      </c>
      <c r="H17" s="3" t="n">
        <v>2130</v>
      </c>
      <c r="J17" t="n">
        <v>16</v>
      </c>
      <c r="K17" s="3" t="n"/>
      <c r="M17" t="n">
        <v>16</v>
      </c>
      <c r="N17" s="3" t="n"/>
      <c r="P17" t="n">
        <v>16</v>
      </c>
      <c r="Q17" s="3" t="n"/>
      <c r="S17" t="n">
        <v>16</v>
      </c>
      <c r="T17" s="3" t="n"/>
      <c r="V17" t="n">
        <v>16</v>
      </c>
      <c r="W17" s="3" t="n"/>
      <c r="Y17" t="n">
        <v>16</v>
      </c>
      <c r="Z17" s="3" t="n"/>
      <c r="AB17" t="n">
        <v>16</v>
      </c>
      <c r="AC17" s="3" t="n"/>
      <c r="AE17" t="n">
        <v>16</v>
      </c>
      <c r="AF17" s="3" t="n"/>
      <c r="AH17" t="n">
        <v>16</v>
      </c>
      <c r="AI17" s="3" t="n"/>
    </row>
    <row r="18">
      <c r="A18" t="n">
        <v>17</v>
      </c>
      <c r="D18" t="n">
        <v>17</v>
      </c>
      <c r="E18" s="3" t="n">
        <v>1755</v>
      </c>
      <c r="G18" t="n">
        <v>17</v>
      </c>
      <c r="H18" s="3" t="n">
        <v>3025</v>
      </c>
      <c r="J18" t="n">
        <v>17</v>
      </c>
      <c r="K18" s="3" t="n"/>
      <c r="M18" t="n">
        <v>17</v>
      </c>
      <c r="N18" s="3" t="n"/>
      <c r="P18" t="n">
        <v>17</v>
      </c>
      <c r="Q18" s="3" t="n"/>
      <c r="S18" t="n">
        <v>17</v>
      </c>
      <c r="T18" s="3" t="n"/>
      <c r="V18" t="n">
        <v>17</v>
      </c>
      <c r="W18" s="3" t="n"/>
      <c r="Y18" t="n">
        <v>17</v>
      </c>
      <c r="Z18" s="3" t="n"/>
      <c r="AB18" t="n">
        <v>17</v>
      </c>
      <c r="AC18" s="3" t="n"/>
      <c r="AE18" t="n">
        <v>17</v>
      </c>
      <c r="AF18" s="3" t="n"/>
      <c r="AH18" t="n">
        <v>17</v>
      </c>
      <c r="AI18" s="3" t="n"/>
    </row>
    <row r="19">
      <c r="A19" t="n">
        <v>18</v>
      </c>
      <c r="D19" t="n">
        <v>18</v>
      </c>
      <c r="E19" s="3" t="n"/>
      <c r="G19" t="n">
        <v>18</v>
      </c>
      <c r="H19" s="3" t="n"/>
      <c r="J19" t="n">
        <v>18</v>
      </c>
      <c r="K19" s="3" t="n"/>
      <c r="M19" t="n">
        <v>18</v>
      </c>
      <c r="N19" s="3" t="n"/>
      <c r="P19" t="n">
        <v>18</v>
      </c>
      <c r="Q19" s="3" t="n"/>
      <c r="S19" t="n">
        <v>18</v>
      </c>
      <c r="T19" s="3" t="n"/>
      <c r="V19" t="n">
        <v>18</v>
      </c>
      <c r="W19" s="3" t="n"/>
      <c r="Y19" t="n">
        <v>18</v>
      </c>
      <c r="Z19" s="3" t="n"/>
      <c r="AB19" t="n">
        <v>18</v>
      </c>
      <c r="AC19" s="3" t="n"/>
      <c r="AE19" t="n">
        <v>18</v>
      </c>
      <c r="AF19" s="3" t="n"/>
      <c r="AH19" t="n">
        <v>18</v>
      </c>
      <c r="AI19" s="3" t="n"/>
    </row>
    <row r="20">
      <c r="A20" t="n">
        <v>19</v>
      </c>
      <c r="D20" t="n">
        <v>19</v>
      </c>
      <c r="E20" s="3" t="n">
        <v>1950</v>
      </c>
      <c r="G20" t="n">
        <v>19</v>
      </c>
      <c r="H20" s="3" t="n">
        <v>-2980</v>
      </c>
      <c r="J20" t="n">
        <v>19</v>
      </c>
      <c r="K20" s="3" t="n"/>
      <c r="M20" t="n">
        <v>19</v>
      </c>
      <c r="N20" s="3" t="n"/>
      <c r="P20" t="n">
        <v>19</v>
      </c>
      <c r="Q20" s="3" t="n"/>
      <c r="S20" t="n">
        <v>19</v>
      </c>
      <c r="T20" s="3" t="n"/>
      <c r="V20" t="n">
        <v>19</v>
      </c>
      <c r="W20" s="3" t="n"/>
      <c r="Y20" t="n">
        <v>19</v>
      </c>
      <c r="Z20" s="3" t="n"/>
      <c r="AB20" t="n">
        <v>19</v>
      </c>
      <c r="AC20" s="3" t="n"/>
      <c r="AE20" t="n">
        <v>19</v>
      </c>
      <c r="AF20" s="3" t="n"/>
      <c r="AH20" t="n">
        <v>19</v>
      </c>
      <c r="AI20" s="3" t="n"/>
    </row>
    <row r="21">
      <c r="A21" t="n">
        <v>20</v>
      </c>
      <c r="B21" s="3" t="n">
        <v>-2730</v>
      </c>
      <c r="D21" t="n">
        <v>20</v>
      </c>
      <c r="E21" s="3" t="n">
        <v>565</v>
      </c>
      <c r="G21" t="n">
        <v>20</v>
      </c>
      <c r="H21" s="3" t="n"/>
      <c r="J21" t="n">
        <v>20</v>
      </c>
      <c r="K21" s="3" t="n"/>
      <c r="M21" t="n">
        <v>20</v>
      </c>
      <c r="N21" s="3" t="n"/>
      <c r="P21" t="n">
        <v>20</v>
      </c>
      <c r="Q21" s="3" t="n"/>
      <c r="S21" t="n">
        <v>20</v>
      </c>
      <c r="T21" s="3" t="n"/>
      <c r="V21" t="n">
        <v>20</v>
      </c>
      <c r="W21" s="3" t="n"/>
      <c r="Y21" t="n">
        <v>20</v>
      </c>
      <c r="Z21" s="3" t="n"/>
      <c r="AB21" t="n">
        <v>20</v>
      </c>
      <c r="AC21" s="3" t="n"/>
      <c r="AE21" t="n">
        <v>20</v>
      </c>
      <c r="AF21" s="3" t="n"/>
      <c r="AH21" t="n">
        <v>20</v>
      </c>
      <c r="AI21" s="3" t="n"/>
    </row>
    <row r="22">
      <c r="A22" t="n">
        <v>21</v>
      </c>
      <c r="D22" t="n">
        <v>21</v>
      </c>
      <c r="E22" s="3" t="n"/>
      <c r="G22" t="n">
        <v>21</v>
      </c>
      <c r="H22" s="3" t="n"/>
      <c r="J22" t="n">
        <v>21</v>
      </c>
      <c r="K22" s="3" t="n"/>
      <c r="M22" t="n">
        <v>21</v>
      </c>
      <c r="N22" s="3" t="n"/>
      <c r="P22" t="n">
        <v>21</v>
      </c>
      <c r="Q22" s="3" t="n"/>
      <c r="S22" t="n">
        <v>21</v>
      </c>
      <c r="T22" s="3" t="n"/>
      <c r="V22" t="n">
        <v>21</v>
      </c>
      <c r="W22" s="3" t="n"/>
      <c r="Y22" t="n">
        <v>21</v>
      </c>
      <c r="Z22" s="3" t="n"/>
      <c r="AB22" t="n">
        <v>21</v>
      </c>
      <c r="AC22" s="3" t="n"/>
      <c r="AE22" t="n">
        <v>21</v>
      </c>
      <c r="AF22" s="3" t="n"/>
      <c r="AH22" t="n">
        <v>21</v>
      </c>
      <c r="AI22" s="3" t="n"/>
    </row>
    <row r="23">
      <c r="A23" t="n">
        <v>22</v>
      </c>
      <c r="D23" t="n">
        <v>22</v>
      </c>
      <c r="E23" s="3" t="n"/>
      <c r="G23" t="n">
        <v>22</v>
      </c>
      <c r="H23" s="3" t="n"/>
      <c r="J23" t="n">
        <v>22</v>
      </c>
      <c r="K23" s="3" t="n"/>
      <c r="M23" t="n">
        <v>22</v>
      </c>
      <c r="N23" s="3" t="n"/>
      <c r="P23" t="n">
        <v>22</v>
      </c>
      <c r="Q23" s="3" t="n"/>
      <c r="S23" t="n">
        <v>22</v>
      </c>
      <c r="T23" s="3" t="n"/>
      <c r="V23" t="n">
        <v>22</v>
      </c>
      <c r="W23" s="3" t="n"/>
      <c r="Y23" t="n">
        <v>22</v>
      </c>
      <c r="Z23" s="3" t="n"/>
      <c r="AB23" t="n">
        <v>22</v>
      </c>
      <c r="AC23" s="3" t="n"/>
      <c r="AE23" t="n">
        <v>22</v>
      </c>
      <c r="AF23" s="3" t="n"/>
      <c r="AH23" t="n">
        <v>22</v>
      </c>
      <c r="AI23" s="3" t="n"/>
    </row>
    <row r="24">
      <c r="A24" t="n">
        <v>23</v>
      </c>
      <c r="B24" s="3" t="n">
        <v>1585</v>
      </c>
      <c r="D24" t="n">
        <v>23</v>
      </c>
      <c r="E24" s="3" t="n">
        <v>-715</v>
      </c>
      <c r="G24" t="n">
        <v>23</v>
      </c>
      <c r="H24" s="3" t="n">
        <v>2330</v>
      </c>
      <c r="J24" t="n">
        <v>23</v>
      </c>
      <c r="K24" s="3" t="n"/>
      <c r="M24" t="n">
        <v>23</v>
      </c>
      <c r="N24" s="3" t="n"/>
      <c r="P24" t="n">
        <v>23</v>
      </c>
      <c r="Q24" s="3" t="n"/>
      <c r="S24" t="n">
        <v>23</v>
      </c>
      <c r="T24" s="3" t="n"/>
      <c r="V24" t="n">
        <v>23</v>
      </c>
      <c r="W24" s="3" t="n"/>
      <c r="Y24" t="n">
        <v>23</v>
      </c>
      <c r="Z24" s="3" t="n"/>
      <c r="AB24" t="n">
        <v>23</v>
      </c>
      <c r="AC24" s="3" t="n"/>
      <c r="AE24" t="n">
        <v>23</v>
      </c>
      <c r="AF24" s="3" t="n"/>
      <c r="AH24" t="n">
        <v>23</v>
      </c>
      <c r="AI24" s="3" t="n"/>
    </row>
    <row r="25">
      <c r="A25" t="n">
        <v>24</v>
      </c>
      <c r="D25" t="n">
        <v>24</v>
      </c>
      <c r="E25" s="3" t="n">
        <v>2410</v>
      </c>
      <c r="G25" t="n">
        <v>24</v>
      </c>
      <c r="H25" s="3" t="n"/>
      <c r="J25" t="n">
        <v>24</v>
      </c>
      <c r="K25" s="3" t="n"/>
      <c r="M25" t="n">
        <v>24</v>
      </c>
      <c r="N25" s="3" t="n"/>
      <c r="P25" t="n">
        <v>24</v>
      </c>
      <c r="Q25" s="3" t="n"/>
      <c r="S25" t="n">
        <v>24</v>
      </c>
      <c r="T25" s="3" t="n"/>
      <c r="V25" t="n">
        <v>24</v>
      </c>
      <c r="W25" s="3" t="n"/>
      <c r="Y25" t="n">
        <v>24</v>
      </c>
      <c r="Z25" s="3" t="n"/>
      <c r="AB25" t="n">
        <v>24</v>
      </c>
      <c r="AC25" s="3" t="n"/>
      <c r="AE25" t="n">
        <v>24</v>
      </c>
      <c r="AF25" s="3" t="n"/>
      <c r="AH25" t="n">
        <v>24</v>
      </c>
      <c r="AI25" s="3" t="n"/>
    </row>
    <row r="26">
      <c r="A26" t="n">
        <v>25</v>
      </c>
      <c r="D26" t="n">
        <v>25</v>
      </c>
      <c r="E26" s="3" t="n"/>
      <c r="G26" t="n">
        <v>25</v>
      </c>
      <c r="H26" s="3" t="n"/>
      <c r="J26" t="n">
        <v>25</v>
      </c>
      <c r="K26" s="3" t="n"/>
      <c r="M26" t="n">
        <v>25</v>
      </c>
      <c r="N26" s="3" t="n"/>
      <c r="P26" t="n">
        <v>25</v>
      </c>
      <c r="Q26" s="3" t="n"/>
      <c r="S26" t="n">
        <v>25</v>
      </c>
      <c r="T26" s="3" t="n"/>
      <c r="V26" t="n">
        <v>25</v>
      </c>
      <c r="W26" s="3" t="n"/>
      <c r="Y26" t="n">
        <v>25</v>
      </c>
      <c r="Z26" s="3" t="n"/>
      <c r="AB26" t="n">
        <v>25</v>
      </c>
      <c r="AC26" s="3" t="n"/>
      <c r="AE26" t="n">
        <v>25</v>
      </c>
      <c r="AF26" s="3" t="n"/>
      <c r="AH26" t="n">
        <v>25</v>
      </c>
      <c r="AI26" s="3" t="n"/>
    </row>
    <row r="27">
      <c r="A27" t="n">
        <v>26</v>
      </c>
      <c r="B27" s="3" t="n">
        <v>1090</v>
      </c>
      <c r="D27" t="n">
        <v>26</v>
      </c>
      <c r="E27" s="3" t="n">
        <v>-2370</v>
      </c>
      <c r="G27" t="n">
        <v>26</v>
      </c>
      <c r="H27" s="3" t="n"/>
      <c r="J27" t="n">
        <v>26</v>
      </c>
      <c r="K27" s="3" t="n"/>
      <c r="M27" t="n">
        <v>26</v>
      </c>
      <c r="N27" s="3" t="n"/>
      <c r="P27" t="n">
        <v>26</v>
      </c>
      <c r="Q27" s="3" t="n"/>
      <c r="S27" t="n">
        <v>26</v>
      </c>
      <c r="T27" s="3" t="n"/>
      <c r="V27" t="n">
        <v>26</v>
      </c>
      <c r="W27" s="3" t="n"/>
      <c r="Y27" t="n">
        <v>26</v>
      </c>
      <c r="Z27" s="3" t="n"/>
      <c r="AB27" t="n">
        <v>26</v>
      </c>
      <c r="AC27" s="3" t="n"/>
      <c r="AE27" t="n">
        <v>26</v>
      </c>
      <c r="AF27" s="3" t="n"/>
      <c r="AH27" t="n">
        <v>26</v>
      </c>
      <c r="AI27" s="3" t="n"/>
    </row>
    <row r="28">
      <c r="A28" t="n">
        <v>27</v>
      </c>
      <c r="B28" s="3" t="n">
        <v>1670</v>
      </c>
      <c r="D28" t="n">
        <v>27</v>
      </c>
      <c r="E28" s="3" t="n">
        <v>110</v>
      </c>
      <c r="G28" t="n">
        <v>27</v>
      </c>
      <c r="H28" s="3" t="n"/>
      <c r="J28" t="n">
        <v>27</v>
      </c>
      <c r="K28" s="3" t="n"/>
      <c r="M28" t="n">
        <v>27</v>
      </c>
      <c r="N28" s="3" t="n"/>
      <c r="P28" t="n">
        <v>27</v>
      </c>
      <c r="Q28" s="3" t="n"/>
      <c r="S28" t="n">
        <v>27</v>
      </c>
      <c r="T28" s="3" t="n"/>
      <c r="V28" t="n">
        <v>27</v>
      </c>
      <c r="W28" s="3" t="n"/>
      <c r="Y28" t="n">
        <v>27</v>
      </c>
      <c r="Z28" s="3" t="n"/>
      <c r="AB28" t="n">
        <v>27</v>
      </c>
      <c r="AC28" s="3" t="n"/>
      <c r="AE28" t="n">
        <v>27</v>
      </c>
      <c r="AF28" s="3" t="n"/>
      <c r="AH28" t="n">
        <v>27</v>
      </c>
      <c r="AI28" s="3" t="n"/>
    </row>
    <row r="29">
      <c r="A29" t="n">
        <v>28</v>
      </c>
      <c r="D29" t="n">
        <v>28</v>
      </c>
      <c r="E29" s="3" t="n"/>
      <c r="G29" t="n">
        <v>28</v>
      </c>
      <c r="H29" s="3" t="n"/>
      <c r="J29" t="n">
        <v>28</v>
      </c>
      <c r="K29" s="3" t="n"/>
      <c r="M29" t="n">
        <v>28</v>
      </c>
      <c r="N29" s="3" t="n"/>
      <c r="P29" t="n">
        <v>28</v>
      </c>
      <c r="Q29" s="3" t="n"/>
      <c r="S29" t="n">
        <v>28</v>
      </c>
      <c r="T29" s="3" t="n"/>
      <c r="V29" t="n">
        <v>28</v>
      </c>
      <c r="W29" s="3" t="n"/>
      <c r="Y29" t="n">
        <v>28</v>
      </c>
      <c r="Z29" s="3" t="n"/>
      <c r="AB29" t="n">
        <v>28</v>
      </c>
      <c r="AC29" s="3" t="n"/>
      <c r="AE29" t="n">
        <v>28</v>
      </c>
      <c r="AF29" s="3" t="n"/>
      <c r="AH29" t="n">
        <v>28</v>
      </c>
      <c r="AI29" s="3" t="n"/>
    </row>
    <row r="30">
      <c r="A30" t="n">
        <v>29</v>
      </c>
      <c r="B30" s="3" t="n">
        <v>-320</v>
      </c>
      <c r="D30" t="n">
        <v>29</v>
      </c>
      <c r="E30" s="3" t="n"/>
      <c r="G30" t="n">
        <v>29</v>
      </c>
      <c r="H30" s="3" t="n"/>
      <c r="J30" t="n">
        <v>29</v>
      </c>
      <c r="K30" s="3" t="n"/>
      <c r="M30" t="n">
        <v>29</v>
      </c>
      <c r="N30" s="3" t="n"/>
      <c r="P30" t="n">
        <v>29</v>
      </c>
      <c r="Q30" s="3" t="n"/>
      <c r="S30" t="n">
        <v>29</v>
      </c>
      <c r="T30" s="3" t="n"/>
      <c r="V30" t="n">
        <v>29</v>
      </c>
      <c r="W30" s="3" t="n"/>
      <c r="Y30" t="n">
        <v>29</v>
      </c>
      <c r="Z30" s="3" t="n"/>
      <c r="AB30" t="n">
        <v>29</v>
      </c>
      <c r="AC30" s="3" t="n"/>
      <c r="AE30" t="n">
        <v>29</v>
      </c>
      <c r="AF30" s="3" t="n"/>
      <c r="AH30" t="n">
        <v>29</v>
      </c>
      <c r="AI30" s="3" t="n"/>
    </row>
    <row r="31">
      <c r="A31" t="n">
        <v>30</v>
      </c>
      <c r="B31" s="3" t="n">
        <v>-805</v>
      </c>
      <c r="D31" t="n">
        <v>30</v>
      </c>
      <c r="E31" s="3" t="n"/>
      <c r="G31" t="n">
        <v>30</v>
      </c>
      <c r="H31" s="3" t="n"/>
      <c r="J31" t="n">
        <v>30</v>
      </c>
      <c r="K31" s="3" t="n"/>
      <c r="M31" t="n">
        <v>30</v>
      </c>
      <c r="N31" s="3" t="n"/>
      <c r="P31" t="n">
        <v>30</v>
      </c>
      <c r="S31" t="n">
        <v>30</v>
      </c>
      <c r="V31" t="n">
        <v>30</v>
      </c>
      <c r="Y31" t="n">
        <v>30</v>
      </c>
      <c r="AB31" t="n">
        <v>30</v>
      </c>
      <c r="AC31" s="3" t="n"/>
      <c r="AE31" t="n">
        <v>30</v>
      </c>
      <c r="AF31" s="3" t="n"/>
      <c r="AH31" t="n">
        <v>30</v>
      </c>
      <c r="AI31" s="3" t="n"/>
    </row>
    <row r="32">
      <c r="A32" t="n">
        <v>31</v>
      </c>
      <c r="D32" t="n">
        <v>31</v>
      </c>
      <c r="E32" s="3" t="n"/>
      <c r="G32" t="n">
        <v>31</v>
      </c>
      <c r="H32" s="3" t="n"/>
      <c r="J32" t="n">
        <v>31</v>
      </c>
      <c r="K32" s="3" t="n"/>
      <c r="M32" t="n">
        <v>31</v>
      </c>
      <c r="N32" s="3" t="n"/>
      <c r="P32" t="n">
        <v>31</v>
      </c>
      <c r="S32" t="n">
        <v>31</v>
      </c>
      <c r="V32" t="n">
        <v>31</v>
      </c>
      <c r="Y32" t="n">
        <v>31</v>
      </c>
      <c r="AB32" t="n">
        <v>31</v>
      </c>
      <c r="AC32" s="3" t="n"/>
      <c r="AE32" t="n">
        <v>31</v>
      </c>
      <c r="AF32" s="3" t="n"/>
      <c r="AH32" t="n">
        <v>31</v>
      </c>
      <c r="AI32" s="3" t="n"/>
    </row>
    <row r="33">
      <c r="E33" s="3" t="n"/>
      <c r="H33" s="3" t="n"/>
    </row>
    <row r="34">
      <c r="E34" s="3" t="n"/>
      <c r="H34" s="3" t="n"/>
    </row>
    <row r="35">
      <c r="A35" t="inlineStr">
        <is>
          <t>Total</t>
        </is>
      </c>
      <c r="B35" s="3">
        <f>SUM(B2:B34)</f>
        <v/>
      </c>
      <c r="E35" s="3">
        <f>SUM(E2:E28)</f>
        <v/>
      </c>
      <c r="H35" s="3">
        <f>SUM(H2:H34)</f>
        <v/>
      </c>
      <c r="K35" s="3">
        <f>SUM(K2:K34)</f>
        <v/>
      </c>
      <c r="N35" s="3">
        <f>SUM(N2:N34)</f>
        <v/>
      </c>
      <c r="Q35" s="3">
        <f>SUM(Q2:Q34)</f>
        <v/>
      </c>
      <c r="T35" s="3">
        <f>SUM(T2:T34)</f>
        <v/>
      </c>
      <c r="W35" s="3">
        <f>SUM(W2:W34)</f>
        <v/>
      </c>
      <c r="Z35" s="3">
        <f>SUM(Z2:Z34)</f>
        <v/>
      </c>
      <c r="AC35" s="3">
        <f>SUM(AC2:AC34)</f>
        <v/>
      </c>
      <c r="AF35" s="3">
        <f>SUM(AF2:AF34)</f>
        <v/>
      </c>
      <c r="AI35" s="3">
        <f>SUM(AI2:AI34)</f>
        <v/>
      </c>
    </row>
  </sheetData>
  <mergeCells count="3">
    <mergeCell ref="D1:E1"/>
    <mergeCell ref="G1:H1"/>
    <mergeCell ref="A1:B1"/>
  </mergeCells>
  <conditionalFormatting sqref="B2:B32">
    <cfRule type="cellIs" priority="43" operator="lessThan" dxfId="1">
      <formula>0</formula>
    </cfRule>
    <cfRule type="cellIs" priority="44" operator="greaterThan" dxfId="0">
      <formula>0</formula>
    </cfRule>
  </conditionalFormatting>
  <conditionalFormatting sqref="B35">
    <cfRule type="cellIs" priority="42" operator="greaterThan" dxfId="0">
      <formula>0</formula>
    </cfRule>
    <cfRule type="cellIs" priority="41" operator="lessThan" dxfId="1">
      <formula>0</formula>
    </cfRule>
  </conditionalFormatting>
  <conditionalFormatting sqref="E2:E35">
    <cfRule type="cellIs" priority="39" operator="lessThan" dxfId="1">
      <formula>0</formula>
    </cfRule>
    <cfRule type="cellIs" priority="40" operator="greaterThan" dxfId="0">
      <formula>0</formula>
    </cfRule>
  </conditionalFormatting>
  <conditionalFormatting sqref="H2:H35">
    <cfRule type="cellIs" priority="34" operator="greaterThan" dxfId="0">
      <formula>0</formula>
    </cfRule>
    <cfRule type="cellIs" priority="33" operator="lessThan" dxfId="1">
      <formula>0</formula>
    </cfRule>
  </conditionalFormatting>
  <conditionalFormatting sqref="K2:K32">
    <cfRule type="cellIs" priority="38" operator="greaterThan" dxfId="0">
      <formula>0</formula>
    </cfRule>
    <cfRule type="cellIs" priority="37" operator="lessThan" dxfId="1">
      <formula>0</formula>
    </cfRule>
  </conditionalFormatting>
  <conditionalFormatting sqref="K35">
    <cfRule type="cellIs" priority="36" operator="greaterThan" dxfId="0">
      <formula>0</formula>
    </cfRule>
    <cfRule type="cellIs" priority="35" operator="lessThan" dxfId="1">
      <formula>0</formula>
    </cfRule>
  </conditionalFormatting>
  <conditionalFormatting sqref="N2:N32">
    <cfRule type="cellIs" priority="32" operator="greaterThan" dxfId="0">
      <formula>0</formula>
    </cfRule>
    <cfRule type="cellIs" priority="31" operator="lessThan" dxfId="1">
      <formula>0</formula>
    </cfRule>
  </conditionalFormatting>
  <conditionalFormatting sqref="N35">
    <cfRule type="cellIs" priority="30" operator="greaterThan" dxfId="0">
      <formula>0</formula>
    </cfRule>
    <cfRule type="cellIs" priority="29" operator="lessThan" dxfId="1">
      <formula>0</formula>
    </cfRule>
  </conditionalFormatting>
  <conditionalFormatting sqref="Q2:Q30">
    <cfRule type="cellIs" priority="28" operator="greaterThan" dxfId="0">
      <formula>0</formula>
    </cfRule>
    <cfRule type="cellIs" priority="27" operator="lessThan" dxfId="1">
      <formula>0</formula>
    </cfRule>
  </conditionalFormatting>
  <conditionalFormatting sqref="Q35">
    <cfRule type="cellIs" priority="26" operator="greaterThan" dxfId="0">
      <formula>0</formula>
    </cfRule>
    <cfRule type="cellIs" priority="25" operator="lessThan" dxfId="1">
      <formula>0</formula>
    </cfRule>
  </conditionalFormatting>
  <conditionalFormatting sqref="T2:T30">
    <cfRule type="cellIs" priority="23" operator="lessThan" dxfId="1">
      <formula>0</formula>
    </cfRule>
    <cfRule type="cellIs" priority="24" operator="greaterThan" dxfId="0">
      <formula>0</formula>
    </cfRule>
  </conditionalFormatting>
  <conditionalFormatting sqref="T35">
    <cfRule type="cellIs" priority="22" operator="greaterThan" dxfId="0">
      <formula>0</formula>
    </cfRule>
    <cfRule type="cellIs" priority="21" operator="lessThan" dxfId="1">
      <formula>0</formula>
    </cfRule>
  </conditionalFormatting>
  <conditionalFormatting sqref="W2:W30">
    <cfRule type="cellIs" priority="20" operator="greaterThan" dxfId="0">
      <formula>0</formula>
    </cfRule>
    <cfRule type="cellIs" priority="19" operator="lessThan" dxfId="1">
      <formula>0</formula>
    </cfRule>
  </conditionalFormatting>
  <conditionalFormatting sqref="W35">
    <cfRule type="cellIs" priority="18" operator="greaterThan" dxfId="0">
      <formula>0</formula>
    </cfRule>
    <cfRule type="cellIs" priority="17" operator="lessThan" dxfId="1">
      <formula>0</formula>
    </cfRule>
  </conditionalFormatting>
  <conditionalFormatting sqref="Z2:Z30">
    <cfRule type="cellIs" priority="16" operator="greaterThan" dxfId="0">
      <formula>0</formula>
    </cfRule>
    <cfRule type="cellIs" priority="15" operator="lessThan" dxfId="1">
      <formula>0</formula>
    </cfRule>
  </conditionalFormatting>
  <conditionalFormatting sqref="Z35">
    <cfRule type="cellIs" priority="14" operator="greaterThan" dxfId="0">
      <formula>0</formula>
    </cfRule>
    <cfRule type="cellIs" priority="13" operator="lessThan" dxfId="1">
      <formula>0</formula>
    </cfRule>
  </conditionalFormatting>
  <conditionalFormatting sqref="AC2:AC32">
    <cfRule type="cellIs" priority="11" operator="lessThan" dxfId="1">
      <formula>0</formula>
    </cfRule>
    <cfRule type="cellIs" priority="12" operator="greaterThan" dxfId="0">
      <formula>0</formula>
    </cfRule>
  </conditionalFormatting>
  <conditionalFormatting sqref="AC35">
    <cfRule type="cellIs" priority="10" operator="greaterThan" dxfId="0">
      <formula>0</formula>
    </cfRule>
    <cfRule type="cellIs" priority="9" operator="lessThan" dxfId="1">
      <formula>0</formula>
    </cfRule>
  </conditionalFormatting>
  <conditionalFormatting sqref="AF2:AF32">
    <cfRule type="cellIs" priority="8" operator="greaterThan" dxfId="0">
      <formula>0</formula>
    </cfRule>
    <cfRule type="cellIs" priority="7" operator="lessThan" dxfId="1">
      <formula>0</formula>
    </cfRule>
  </conditionalFormatting>
  <conditionalFormatting sqref="AF35">
    <cfRule type="cellIs" priority="6" operator="greaterThan" dxfId="0">
      <formula>0</formula>
    </cfRule>
    <cfRule type="cellIs" priority="5" operator="lessThan" dxfId="1">
      <formula>0</formula>
    </cfRule>
  </conditionalFormatting>
  <conditionalFormatting sqref="AI2:AI32">
    <cfRule type="cellIs" priority="4" operator="greaterThan" dxfId="0">
      <formula>0</formula>
    </cfRule>
    <cfRule type="cellIs" priority="3" operator="lessThan" dxfId="1">
      <formula>0</formula>
    </cfRule>
  </conditionalFormatting>
  <conditionalFormatting sqref="AI35">
    <cfRule type="cellIs" priority="2" operator="greaterThan" dxfId="0">
      <formula>0</formula>
    </cfRule>
    <cfRule type="cellIs" priority="1" operator="lessThan" dxfId="1">
      <formula>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selection activeCell="K3" sqref="K3"/>
    </sheetView>
  </sheetViews>
  <sheetFormatPr baseColWidth="8" defaultRowHeight="15"/>
  <cols>
    <col width="18.42578125" customWidth="1" min="1" max="1"/>
    <col width="15.42578125" customWidth="1" style="3" min="2" max="2"/>
    <col width="11.5703125" customWidth="1" min="4" max="4"/>
    <col width="12.5703125" customWidth="1" min="5" max="5"/>
    <col width="11.5703125" customWidth="1" min="7" max="7"/>
    <col width="12.5703125" customWidth="1" min="8" max="8"/>
    <col width="11.5703125" customWidth="1" min="10" max="10"/>
    <col width="10.140625" bestFit="1" customWidth="1" min="11" max="11"/>
    <col width="10.42578125" bestFit="1" customWidth="1" min="13" max="13"/>
    <col width="10.85546875" bestFit="1" customWidth="1" min="14" max="14"/>
    <col width="10.85546875" bestFit="1" customWidth="1" min="17" max="17"/>
    <col width="10.85546875" bestFit="1" customWidth="1" min="20" max="20"/>
    <col width="10.85546875" bestFit="1" customWidth="1" min="23" max="23"/>
    <col width="10.85546875" bestFit="1" customWidth="1" min="26" max="26"/>
    <col width="10.85546875" bestFit="1" customWidth="1" min="29" max="29"/>
    <col width="10.85546875" bestFit="1" customWidth="1" min="32" max="32"/>
    <col width="10.140625" bestFit="1" customWidth="1" min="35" max="35"/>
  </cols>
  <sheetData>
    <row r="1" customFormat="1" s="2">
      <c r="A1" s="9" t="inlineStr">
        <is>
          <t>January</t>
        </is>
      </c>
      <c r="D1" s="9" t="inlineStr">
        <is>
          <t>February</t>
        </is>
      </c>
      <c r="G1" s="9" t="inlineStr">
        <is>
          <t>March</t>
        </is>
      </c>
      <c r="J1" s="2" t="inlineStr">
        <is>
          <t>April</t>
        </is>
      </c>
      <c r="M1" s="2" t="inlineStr">
        <is>
          <t>May</t>
        </is>
      </c>
      <c r="P1" s="2" t="inlineStr">
        <is>
          <t>Jun</t>
        </is>
      </c>
      <c r="S1" s="2" t="inlineStr">
        <is>
          <t>Jul</t>
        </is>
      </c>
      <c r="V1" s="2" t="inlineStr">
        <is>
          <t>Aug</t>
        </is>
      </c>
      <c r="Y1" s="2" t="inlineStr">
        <is>
          <t>Sep</t>
        </is>
      </c>
      <c r="AB1" s="2" t="inlineStr">
        <is>
          <t>Oct</t>
        </is>
      </c>
      <c r="AE1" s="2" t="inlineStr">
        <is>
          <t>Nov</t>
        </is>
      </c>
      <c r="AH1" s="2" t="inlineStr">
        <is>
          <t>Dec</t>
        </is>
      </c>
    </row>
    <row r="2">
      <c r="A2" t="n">
        <v>1</v>
      </c>
      <c r="D2" t="n">
        <v>1</v>
      </c>
      <c r="E2" s="3" t="n"/>
      <c r="G2" t="n">
        <v>1</v>
      </c>
      <c r="H2" s="3" t="n"/>
      <c r="J2" t="n">
        <v>1</v>
      </c>
      <c r="K2" s="3" t="n"/>
      <c r="M2" t="n">
        <v>1</v>
      </c>
      <c r="N2" s="3" t="n"/>
      <c r="P2" t="n">
        <v>1</v>
      </c>
      <c r="Q2" s="3" t="n"/>
      <c r="S2" t="n">
        <v>1</v>
      </c>
      <c r="T2" s="3" t="n"/>
      <c r="V2" t="n">
        <v>1</v>
      </c>
      <c r="W2" s="3" t="n"/>
      <c r="Y2" t="n">
        <v>1</v>
      </c>
      <c r="Z2" s="3" t="n"/>
      <c r="AB2" t="n">
        <v>1</v>
      </c>
      <c r="AC2" s="3" t="n"/>
      <c r="AE2" t="n">
        <v>1</v>
      </c>
      <c r="AF2" s="3" t="n"/>
      <c r="AH2" t="n">
        <v>1</v>
      </c>
      <c r="AI2" s="3" t="n"/>
    </row>
    <row r="3">
      <c r="A3" t="n">
        <v>2</v>
      </c>
      <c r="D3" t="n">
        <v>2</v>
      </c>
      <c r="E3" s="3" t="n"/>
      <c r="G3" t="n">
        <v>2</v>
      </c>
      <c r="H3" s="3" t="n"/>
      <c r="J3" t="n">
        <v>2</v>
      </c>
      <c r="K3" s="3" t="n"/>
      <c r="M3" t="n">
        <v>2</v>
      </c>
      <c r="N3" s="3" t="n"/>
      <c r="P3" t="n">
        <v>2</v>
      </c>
      <c r="Q3" s="3" t="n"/>
      <c r="S3" t="n">
        <v>2</v>
      </c>
      <c r="T3" s="3" t="n"/>
      <c r="V3" t="n">
        <v>2</v>
      </c>
      <c r="W3" s="3" t="n"/>
      <c r="Y3" t="n">
        <v>2</v>
      </c>
      <c r="Z3" s="3" t="n"/>
      <c r="AB3" t="n">
        <v>2</v>
      </c>
      <c r="AC3" s="3" t="n"/>
      <c r="AE3" t="n">
        <v>2</v>
      </c>
      <c r="AF3" s="3" t="n"/>
      <c r="AH3" t="n">
        <v>2</v>
      </c>
      <c r="AI3" s="3" t="n"/>
    </row>
    <row r="4">
      <c r="A4" t="n">
        <v>3</v>
      </c>
      <c r="D4" t="n">
        <v>3</v>
      </c>
      <c r="E4" s="3" t="n"/>
      <c r="G4" t="n">
        <v>3</v>
      </c>
      <c r="H4" s="3" t="n"/>
      <c r="J4" t="n">
        <v>3</v>
      </c>
      <c r="K4" s="3" t="n"/>
      <c r="M4" t="n">
        <v>3</v>
      </c>
      <c r="N4" s="3" t="n"/>
      <c r="P4" t="n">
        <v>3</v>
      </c>
      <c r="Q4" s="3" t="n"/>
      <c r="S4" t="n">
        <v>3</v>
      </c>
      <c r="T4" s="3" t="n"/>
      <c r="V4" t="n">
        <v>3</v>
      </c>
      <c r="W4" s="3" t="n"/>
      <c r="Y4" t="n">
        <v>3</v>
      </c>
      <c r="Z4" s="3" t="n"/>
      <c r="AB4" t="n">
        <v>3</v>
      </c>
      <c r="AC4" s="3" t="n"/>
      <c r="AE4" t="n">
        <v>3</v>
      </c>
      <c r="AF4" s="3" t="n"/>
      <c r="AH4" t="n">
        <v>3</v>
      </c>
      <c r="AI4" s="3" t="n"/>
    </row>
    <row r="5">
      <c r="A5" t="n">
        <v>4</v>
      </c>
      <c r="D5" t="n">
        <v>4</v>
      </c>
      <c r="E5" s="3" t="n"/>
      <c r="G5" t="n">
        <v>4</v>
      </c>
      <c r="H5" s="3" t="n">
        <v>1715</v>
      </c>
      <c r="J5" t="n">
        <v>4</v>
      </c>
      <c r="K5" s="3" t="n"/>
      <c r="M5" t="n">
        <v>4</v>
      </c>
      <c r="N5" s="3" t="n"/>
      <c r="P5" t="n">
        <v>4</v>
      </c>
      <c r="Q5" s="3" t="n"/>
      <c r="S5" t="n">
        <v>4</v>
      </c>
      <c r="T5" s="3" t="n"/>
      <c r="V5" t="n">
        <v>4</v>
      </c>
      <c r="W5" s="3" t="n"/>
      <c r="Y5" t="n">
        <v>4</v>
      </c>
      <c r="Z5" s="3" t="n"/>
      <c r="AB5" t="n">
        <v>4</v>
      </c>
      <c r="AC5" s="3" t="n"/>
      <c r="AE5" t="n">
        <v>4</v>
      </c>
      <c r="AF5" s="3" t="n"/>
      <c r="AH5" t="n">
        <v>4</v>
      </c>
      <c r="AI5" s="3" t="n"/>
    </row>
    <row r="6">
      <c r="A6" t="n">
        <v>5</v>
      </c>
      <c r="D6" t="n">
        <v>5</v>
      </c>
      <c r="E6" s="3" t="n"/>
      <c r="G6" t="n">
        <v>5</v>
      </c>
      <c r="H6" s="3" t="n"/>
      <c r="J6" t="n">
        <v>5</v>
      </c>
      <c r="K6" s="3" t="n"/>
      <c r="M6" t="n">
        <v>5</v>
      </c>
      <c r="N6" s="3" t="n"/>
      <c r="P6" t="n">
        <v>5</v>
      </c>
      <c r="Q6" s="3" t="n"/>
      <c r="S6" t="n">
        <v>5</v>
      </c>
      <c r="T6" s="3" t="n"/>
      <c r="V6" t="n">
        <v>5</v>
      </c>
      <c r="W6" s="3" t="n"/>
      <c r="Y6" t="n">
        <v>5</v>
      </c>
      <c r="Z6" s="3" t="n"/>
      <c r="AB6" t="n">
        <v>5</v>
      </c>
      <c r="AC6" s="3" t="n"/>
      <c r="AE6" t="n">
        <v>5</v>
      </c>
      <c r="AF6" s="3" t="n"/>
      <c r="AH6" t="n">
        <v>5</v>
      </c>
      <c r="AI6" s="3" t="n"/>
    </row>
    <row r="7">
      <c r="A7" t="n">
        <v>6</v>
      </c>
      <c r="D7" t="n">
        <v>6</v>
      </c>
      <c r="E7" s="3" t="n"/>
      <c r="G7" t="n">
        <v>6</v>
      </c>
      <c r="H7" s="3" t="n"/>
      <c r="J7" t="n">
        <v>6</v>
      </c>
      <c r="K7" s="3" t="n"/>
      <c r="M7" t="n">
        <v>6</v>
      </c>
      <c r="N7" s="3" t="n"/>
      <c r="P7" t="n">
        <v>6</v>
      </c>
      <c r="Q7" s="3" t="n"/>
      <c r="S7" t="n">
        <v>6</v>
      </c>
      <c r="T7" s="3" t="n"/>
      <c r="V7" t="n">
        <v>6</v>
      </c>
      <c r="W7" s="3" t="n"/>
      <c r="Y7" t="n">
        <v>6</v>
      </c>
      <c r="Z7" s="3" t="n"/>
      <c r="AB7" t="n">
        <v>6</v>
      </c>
      <c r="AC7" s="3" t="n"/>
      <c r="AE7" t="n">
        <v>6</v>
      </c>
      <c r="AF7" s="3" t="n"/>
      <c r="AH7" t="n">
        <v>6</v>
      </c>
      <c r="AI7" s="3" t="n"/>
    </row>
    <row r="8">
      <c r="A8" t="n">
        <v>7</v>
      </c>
      <c r="D8" t="n">
        <v>7</v>
      </c>
      <c r="E8" s="3" t="n"/>
      <c r="G8" t="n">
        <v>7</v>
      </c>
      <c r="H8" s="3" t="n"/>
      <c r="J8" t="n">
        <v>7</v>
      </c>
      <c r="K8" s="3" t="n"/>
      <c r="M8" t="n">
        <v>7</v>
      </c>
      <c r="N8" s="3" t="n"/>
      <c r="P8" t="n">
        <v>7</v>
      </c>
      <c r="Q8" s="3" t="n"/>
      <c r="S8" t="n">
        <v>7</v>
      </c>
      <c r="T8" s="3" t="n"/>
      <c r="V8" t="n">
        <v>7</v>
      </c>
      <c r="W8" s="3" t="n"/>
      <c r="Y8" t="n">
        <v>7</v>
      </c>
      <c r="Z8" s="3" t="n"/>
      <c r="AB8" t="n">
        <v>7</v>
      </c>
      <c r="AC8" s="3" t="n"/>
      <c r="AE8" t="n">
        <v>7</v>
      </c>
      <c r="AF8" s="3" t="n"/>
      <c r="AH8" t="n">
        <v>7</v>
      </c>
      <c r="AI8" s="3" t="n"/>
    </row>
    <row r="9">
      <c r="A9" t="n">
        <v>8</v>
      </c>
      <c r="D9" t="n">
        <v>8</v>
      </c>
      <c r="E9" s="3" t="n"/>
      <c r="G9" t="n">
        <v>8</v>
      </c>
      <c r="H9" s="3" t="n"/>
      <c r="J9" t="n">
        <v>8</v>
      </c>
      <c r="K9" s="3" t="n"/>
      <c r="M9" t="n">
        <v>8</v>
      </c>
      <c r="N9" s="3" t="n"/>
      <c r="P9" t="n">
        <v>8</v>
      </c>
      <c r="Q9" s="3" t="n"/>
      <c r="S9" t="n">
        <v>8</v>
      </c>
      <c r="T9" s="3" t="n"/>
      <c r="V9" t="n">
        <v>8</v>
      </c>
      <c r="W9" s="3" t="n"/>
      <c r="Y9" t="n">
        <v>8</v>
      </c>
      <c r="Z9" s="3" t="n"/>
      <c r="AB9" t="n">
        <v>8</v>
      </c>
      <c r="AC9" s="3" t="n"/>
      <c r="AE9" t="n">
        <v>8</v>
      </c>
      <c r="AF9" s="3" t="n"/>
      <c r="AH9" t="n">
        <v>8</v>
      </c>
      <c r="AI9" s="3" t="n"/>
    </row>
    <row r="10">
      <c r="A10" t="n">
        <v>9</v>
      </c>
      <c r="D10" t="n">
        <v>9</v>
      </c>
      <c r="E10" s="3" t="n"/>
      <c r="G10" t="n">
        <v>9</v>
      </c>
      <c r="H10" s="3" t="n"/>
      <c r="J10" t="n">
        <v>9</v>
      </c>
      <c r="K10" s="3" t="n"/>
      <c r="M10" t="n">
        <v>9</v>
      </c>
      <c r="N10" s="3" t="n"/>
      <c r="P10" t="n">
        <v>9</v>
      </c>
      <c r="Q10" s="3" t="n"/>
      <c r="S10" t="n">
        <v>9</v>
      </c>
      <c r="T10" s="3" t="n"/>
      <c r="V10" t="n">
        <v>9</v>
      </c>
      <c r="W10" s="3" t="n"/>
      <c r="Y10" t="n">
        <v>9</v>
      </c>
      <c r="Z10" s="3" t="n"/>
      <c r="AB10" t="n">
        <v>9</v>
      </c>
      <c r="AC10" s="3" t="n"/>
      <c r="AE10" t="n">
        <v>9</v>
      </c>
      <c r="AF10" s="3" t="n"/>
      <c r="AH10" t="n">
        <v>9</v>
      </c>
      <c r="AI10" s="3" t="n"/>
    </row>
    <row r="11">
      <c r="A11" t="n">
        <v>10</v>
      </c>
      <c r="D11" t="n">
        <v>10</v>
      </c>
      <c r="E11" s="3" t="n"/>
      <c r="G11" t="n">
        <v>10</v>
      </c>
      <c r="H11" s="3" t="n">
        <v>-2520</v>
      </c>
      <c r="J11" t="n">
        <v>10</v>
      </c>
      <c r="K11" s="3" t="n"/>
      <c r="M11" t="n">
        <v>10</v>
      </c>
      <c r="N11" s="3" t="n"/>
      <c r="P11" t="n">
        <v>10</v>
      </c>
      <c r="Q11" s="3" t="n"/>
      <c r="S11" t="n">
        <v>10</v>
      </c>
      <c r="T11" s="3" t="n"/>
      <c r="V11" t="n">
        <v>10</v>
      </c>
      <c r="W11" s="3" t="n"/>
      <c r="Y11" t="n">
        <v>10</v>
      </c>
      <c r="Z11" s="3" t="n"/>
      <c r="AB11" t="n">
        <v>10</v>
      </c>
      <c r="AC11" s="3" t="n"/>
      <c r="AE11" t="n">
        <v>10</v>
      </c>
      <c r="AF11" s="3" t="n"/>
      <c r="AH11" t="n">
        <v>10</v>
      </c>
      <c r="AI11" s="3" t="n"/>
    </row>
    <row r="12">
      <c r="A12" t="n">
        <v>11</v>
      </c>
      <c r="D12" t="n">
        <v>11</v>
      </c>
      <c r="E12" s="3" t="n"/>
      <c r="G12" t="n">
        <v>11</v>
      </c>
      <c r="H12" s="3" t="n"/>
      <c r="J12" t="n">
        <v>11</v>
      </c>
      <c r="K12" s="3" t="n"/>
      <c r="M12" t="n">
        <v>11</v>
      </c>
      <c r="N12" s="3" t="n"/>
      <c r="P12" t="n">
        <v>11</v>
      </c>
      <c r="Q12" s="3" t="n"/>
      <c r="S12" t="n">
        <v>11</v>
      </c>
      <c r="T12" s="3" t="n"/>
      <c r="V12" t="n">
        <v>11</v>
      </c>
      <c r="W12" s="3" t="n"/>
      <c r="Y12" t="n">
        <v>11</v>
      </c>
      <c r="Z12" s="3" t="n"/>
      <c r="AB12" t="n">
        <v>11</v>
      </c>
      <c r="AC12" s="3" t="n"/>
      <c r="AE12" t="n">
        <v>11</v>
      </c>
      <c r="AF12" s="3" t="n"/>
      <c r="AH12" t="n">
        <v>11</v>
      </c>
      <c r="AI12" s="3" t="n"/>
    </row>
    <row r="13">
      <c r="A13" t="n">
        <v>12</v>
      </c>
      <c r="D13" t="n">
        <v>12</v>
      </c>
      <c r="E13" s="3" t="n"/>
      <c r="G13" t="n">
        <v>12</v>
      </c>
      <c r="H13" s="3" t="n"/>
      <c r="J13" t="n">
        <v>12</v>
      </c>
      <c r="K13" s="3" t="n"/>
      <c r="M13" t="n">
        <v>12</v>
      </c>
      <c r="N13" s="3" t="n"/>
      <c r="P13" t="n">
        <v>12</v>
      </c>
      <c r="Q13" s="3" t="n"/>
      <c r="S13" t="n">
        <v>12</v>
      </c>
      <c r="T13" s="3" t="n"/>
      <c r="V13" t="n">
        <v>12</v>
      </c>
      <c r="W13" s="3" t="n"/>
      <c r="Y13" t="n">
        <v>12</v>
      </c>
      <c r="Z13" s="3" t="n"/>
      <c r="AB13" t="n">
        <v>12</v>
      </c>
      <c r="AC13" s="3" t="n"/>
      <c r="AE13" t="n">
        <v>12</v>
      </c>
      <c r="AF13" s="3" t="n"/>
      <c r="AH13" t="n">
        <v>12</v>
      </c>
      <c r="AI13" s="3" t="n"/>
    </row>
    <row r="14">
      <c r="A14" t="n">
        <v>13</v>
      </c>
      <c r="D14" t="n">
        <v>13</v>
      </c>
      <c r="E14" s="3" t="n"/>
      <c r="G14" t="n">
        <v>13</v>
      </c>
      <c r="H14" s="3" t="n"/>
      <c r="J14" t="n">
        <v>13</v>
      </c>
      <c r="K14" s="3" t="n"/>
      <c r="M14" t="n">
        <v>13</v>
      </c>
      <c r="N14" s="3" t="n"/>
      <c r="P14" t="n">
        <v>13</v>
      </c>
      <c r="Q14" s="3" t="n"/>
      <c r="S14" t="n">
        <v>13</v>
      </c>
      <c r="T14" s="3" t="n"/>
      <c r="V14" t="n">
        <v>13</v>
      </c>
      <c r="W14" s="3" t="n"/>
      <c r="Y14" t="n">
        <v>13</v>
      </c>
      <c r="Z14" s="3" t="n"/>
      <c r="AB14" t="n">
        <v>13</v>
      </c>
      <c r="AC14" s="3" t="n"/>
      <c r="AE14" t="n">
        <v>13</v>
      </c>
      <c r="AF14" s="3" t="n"/>
      <c r="AH14" t="n">
        <v>13</v>
      </c>
      <c r="AI14" s="3" t="n"/>
    </row>
    <row r="15">
      <c r="A15" t="n">
        <v>14</v>
      </c>
      <c r="D15" t="n">
        <v>14</v>
      </c>
      <c r="E15" s="3" t="n"/>
      <c r="G15" t="n">
        <v>14</v>
      </c>
      <c r="H15" s="3" t="n"/>
      <c r="J15" t="n">
        <v>14</v>
      </c>
      <c r="K15" s="3" t="n"/>
      <c r="M15" t="n">
        <v>14</v>
      </c>
      <c r="N15" s="3" t="n"/>
      <c r="P15" t="n">
        <v>14</v>
      </c>
      <c r="Q15" s="3" t="n"/>
      <c r="S15" t="n">
        <v>14</v>
      </c>
      <c r="T15" s="3" t="n"/>
      <c r="V15" t="n">
        <v>14</v>
      </c>
      <c r="W15" s="3" t="n"/>
      <c r="Y15" t="n">
        <v>14</v>
      </c>
      <c r="Z15" s="3" t="n"/>
      <c r="AB15" t="n">
        <v>14</v>
      </c>
      <c r="AC15" s="3" t="n"/>
      <c r="AE15" t="n">
        <v>14</v>
      </c>
      <c r="AF15" s="3" t="n"/>
      <c r="AH15" t="n">
        <v>14</v>
      </c>
      <c r="AI15" s="3" t="n"/>
    </row>
    <row r="16">
      <c r="A16" t="n">
        <v>15</v>
      </c>
      <c r="D16" t="n">
        <v>15</v>
      </c>
      <c r="E16" s="3" t="n"/>
      <c r="G16" t="n">
        <v>15</v>
      </c>
      <c r="H16" s="3" t="n"/>
      <c r="J16" t="n">
        <v>15</v>
      </c>
      <c r="K16" s="3" t="n"/>
      <c r="M16" t="n">
        <v>15</v>
      </c>
      <c r="N16" s="3" t="n"/>
      <c r="P16" t="n">
        <v>15</v>
      </c>
      <c r="Q16" s="3" t="n"/>
      <c r="S16" t="n">
        <v>15</v>
      </c>
      <c r="T16" s="3" t="n"/>
      <c r="V16" t="n">
        <v>15</v>
      </c>
      <c r="W16" s="3" t="n"/>
      <c r="Y16" t="n">
        <v>15</v>
      </c>
      <c r="Z16" s="3" t="n"/>
      <c r="AB16" t="n">
        <v>15</v>
      </c>
      <c r="AC16" s="3" t="n"/>
      <c r="AE16" t="n">
        <v>15</v>
      </c>
      <c r="AF16" s="3" t="n"/>
      <c r="AH16" t="n">
        <v>15</v>
      </c>
      <c r="AI16" s="3" t="n"/>
    </row>
    <row r="17">
      <c r="A17" t="n">
        <v>16</v>
      </c>
      <c r="D17" t="n">
        <v>16</v>
      </c>
      <c r="E17" s="3" t="n"/>
      <c r="G17" t="n">
        <v>16</v>
      </c>
      <c r="H17" s="3" t="n">
        <v>-1294</v>
      </c>
      <c r="J17" t="n">
        <v>16</v>
      </c>
      <c r="K17" s="3" t="n"/>
      <c r="M17" t="n">
        <v>16</v>
      </c>
      <c r="N17" s="3" t="n"/>
      <c r="P17" t="n">
        <v>16</v>
      </c>
      <c r="Q17" s="3" t="n"/>
      <c r="S17" t="n">
        <v>16</v>
      </c>
      <c r="T17" s="3" t="n"/>
      <c r="V17" t="n">
        <v>16</v>
      </c>
      <c r="W17" s="3" t="n"/>
      <c r="Y17" t="n">
        <v>16</v>
      </c>
      <c r="Z17" s="3" t="n"/>
      <c r="AB17" t="n">
        <v>16</v>
      </c>
      <c r="AC17" s="3" t="n"/>
      <c r="AE17" t="n">
        <v>16</v>
      </c>
      <c r="AF17" s="3" t="n"/>
      <c r="AH17" t="n">
        <v>16</v>
      </c>
      <c r="AI17" s="3" t="n"/>
    </row>
    <row r="18">
      <c r="A18" t="n">
        <v>17</v>
      </c>
      <c r="D18" t="n">
        <v>17</v>
      </c>
      <c r="E18" s="3" t="n"/>
      <c r="G18" t="n">
        <v>17</v>
      </c>
      <c r="H18" s="3" t="n"/>
      <c r="J18" t="n">
        <v>17</v>
      </c>
      <c r="K18" s="3" t="n"/>
      <c r="M18" t="n">
        <v>17</v>
      </c>
      <c r="N18" s="3" t="n"/>
      <c r="P18" t="n">
        <v>17</v>
      </c>
      <c r="Q18" s="3" t="n"/>
      <c r="S18" t="n">
        <v>17</v>
      </c>
      <c r="T18" s="3" t="n"/>
      <c r="V18" t="n">
        <v>17</v>
      </c>
      <c r="W18" s="3" t="n"/>
      <c r="Y18" t="n">
        <v>17</v>
      </c>
      <c r="Z18" s="3" t="n"/>
      <c r="AB18" t="n">
        <v>17</v>
      </c>
      <c r="AC18" s="3" t="n"/>
      <c r="AE18" t="n">
        <v>17</v>
      </c>
      <c r="AF18" s="3" t="n"/>
      <c r="AH18" t="n">
        <v>17</v>
      </c>
      <c r="AI18" s="3" t="n"/>
    </row>
    <row r="19">
      <c r="A19" t="n">
        <v>18</v>
      </c>
      <c r="D19" t="n">
        <v>18</v>
      </c>
      <c r="E19" s="3" t="n">
        <v>-1905</v>
      </c>
      <c r="G19" t="n">
        <v>18</v>
      </c>
      <c r="H19" s="3" t="n"/>
      <c r="J19" t="n">
        <v>18</v>
      </c>
      <c r="K19" s="3" t="n"/>
      <c r="M19" t="n">
        <v>18</v>
      </c>
      <c r="N19" s="3" t="n"/>
      <c r="P19" t="n">
        <v>18</v>
      </c>
      <c r="Q19" s="3" t="n"/>
      <c r="S19" t="n">
        <v>18</v>
      </c>
      <c r="T19" s="3" t="n"/>
      <c r="V19" t="n">
        <v>18</v>
      </c>
      <c r="W19" s="3" t="n"/>
      <c r="Y19" t="n">
        <v>18</v>
      </c>
      <c r="Z19" s="3" t="n"/>
      <c r="AB19" t="n">
        <v>18</v>
      </c>
      <c r="AC19" s="3" t="n"/>
      <c r="AE19" t="n">
        <v>18</v>
      </c>
      <c r="AF19" s="3" t="n"/>
      <c r="AH19" t="n">
        <v>18</v>
      </c>
      <c r="AI19" s="3" t="n"/>
    </row>
    <row r="20">
      <c r="A20" t="n">
        <v>19</v>
      </c>
      <c r="D20" t="n">
        <v>19</v>
      </c>
      <c r="E20" s="3" t="n"/>
      <c r="G20" t="n">
        <v>19</v>
      </c>
      <c r="H20" s="3" t="n"/>
      <c r="J20" t="n">
        <v>19</v>
      </c>
      <c r="K20" s="3" t="n"/>
      <c r="M20" t="n">
        <v>19</v>
      </c>
      <c r="N20" s="3" t="n"/>
      <c r="P20" t="n">
        <v>19</v>
      </c>
      <c r="Q20" s="3" t="n"/>
      <c r="S20" t="n">
        <v>19</v>
      </c>
      <c r="T20" s="3" t="n"/>
      <c r="V20" t="n">
        <v>19</v>
      </c>
      <c r="W20" s="3" t="n"/>
      <c r="Y20" t="n">
        <v>19</v>
      </c>
      <c r="Z20" s="3" t="n"/>
      <c r="AB20" t="n">
        <v>19</v>
      </c>
      <c r="AC20" s="3" t="n"/>
      <c r="AE20" t="n">
        <v>19</v>
      </c>
      <c r="AF20" s="3" t="n"/>
      <c r="AH20" t="n">
        <v>19</v>
      </c>
      <c r="AI20" s="3" t="n"/>
    </row>
    <row r="21">
      <c r="A21" t="n">
        <v>20</v>
      </c>
      <c r="D21" t="n">
        <v>20</v>
      </c>
      <c r="E21" s="3" t="n"/>
      <c r="G21" t="n">
        <v>20</v>
      </c>
      <c r="H21" s="3" t="n"/>
      <c r="J21" t="n">
        <v>20</v>
      </c>
      <c r="K21" s="3" t="n"/>
      <c r="M21" t="n">
        <v>20</v>
      </c>
      <c r="N21" s="3" t="n"/>
      <c r="P21" t="n">
        <v>20</v>
      </c>
      <c r="Q21" s="3" t="n"/>
      <c r="S21" t="n">
        <v>20</v>
      </c>
      <c r="T21" s="3" t="n"/>
      <c r="V21" t="n">
        <v>20</v>
      </c>
      <c r="W21" s="3" t="n"/>
      <c r="Y21" t="n">
        <v>20</v>
      </c>
      <c r="Z21" s="3" t="n"/>
      <c r="AB21" t="n">
        <v>20</v>
      </c>
      <c r="AC21" s="3" t="n"/>
      <c r="AE21" t="n">
        <v>20</v>
      </c>
      <c r="AF21" s="3" t="n"/>
      <c r="AH21" t="n">
        <v>20</v>
      </c>
      <c r="AI21" s="3" t="n"/>
    </row>
    <row r="22">
      <c r="A22" t="n">
        <v>21</v>
      </c>
      <c r="D22" t="n">
        <v>21</v>
      </c>
      <c r="E22" s="3" t="n"/>
      <c r="G22" t="n">
        <v>21</v>
      </c>
      <c r="H22" s="3" t="n"/>
      <c r="J22" t="n">
        <v>21</v>
      </c>
      <c r="K22" s="3" t="n"/>
      <c r="M22" t="n">
        <v>21</v>
      </c>
      <c r="N22" s="3" t="n"/>
      <c r="P22" t="n">
        <v>21</v>
      </c>
      <c r="Q22" s="3" t="n"/>
      <c r="S22" t="n">
        <v>21</v>
      </c>
      <c r="T22" s="3" t="n"/>
      <c r="V22" t="n">
        <v>21</v>
      </c>
      <c r="W22" s="3" t="n"/>
      <c r="Y22" t="n">
        <v>21</v>
      </c>
      <c r="Z22" s="3" t="n"/>
      <c r="AB22" t="n">
        <v>21</v>
      </c>
      <c r="AC22" s="3" t="n"/>
      <c r="AE22" t="n">
        <v>21</v>
      </c>
      <c r="AF22" s="3" t="n"/>
      <c r="AH22" t="n">
        <v>21</v>
      </c>
      <c r="AI22" s="3" t="n"/>
    </row>
    <row r="23">
      <c r="A23" t="n">
        <v>22</v>
      </c>
      <c r="D23" t="n">
        <v>22</v>
      </c>
      <c r="E23" s="3" t="n"/>
      <c r="G23" t="n">
        <v>22</v>
      </c>
      <c r="H23" s="3" t="n"/>
      <c r="J23" t="n">
        <v>22</v>
      </c>
      <c r="K23" s="3" t="n"/>
      <c r="M23" t="n">
        <v>22</v>
      </c>
      <c r="N23" s="3" t="n"/>
      <c r="P23" t="n">
        <v>22</v>
      </c>
      <c r="Q23" s="3" t="n"/>
      <c r="S23" t="n">
        <v>22</v>
      </c>
      <c r="T23" s="3" t="n"/>
      <c r="V23" t="n">
        <v>22</v>
      </c>
      <c r="W23" s="3" t="n"/>
      <c r="Y23" t="n">
        <v>22</v>
      </c>
      <c r="Z23" s="3" t="n"/>
      <c r="AB23" t="n">
        <v>22</v>
      </c>
      <c r="AC23" s="3" t="n"/>
      <c r="AE23" t="n">
        <v>22</v>
      </c>
      <c r="AF23" s="3" t="n"/>
      <c r="AH23" t="n">
        <v>22</v>
      </c>
      <c r="AI23" s="3" t="n"/>
    </row>
    <row r="24">
      <c r="A24" t="n">
        <v>23</v>
      </c>
      <c r="D24" t="n">
        <v>23</v>
      </c>
      <c r="E24" s="3" t="n"/>
      <c r="G24" t="n">
        <v>23</v>
      </c>
      <c r="H24" s="3" t="n">
        <v>-25</v>
      </c>
      <c r="J24" t="n">
        <v>23</v>
      </c>
      <c r="K24" s="3" t="n"/>
      <c r="M24" t="n">
        <v>23</v>
      </c>
      <c r="N24" s="3" t="n"/>
      <c r="P24" t="n">
        <v>23</v>
      </c>
      <c r="Q24" s="3" t="n"/>
      <c r="S24" t="n">
        <v>23</v>
      </c>
      <c r="T24" s="3" t="n"/>
      <c r="V24" t="n">
        <v>23</v>
      </c>
      <c r="W24" s="3" t="n"/>
      <c r="Y24" t="n">
        <v>23</v>
      </c>
      <c r="Z24" s="3" t="n"/>
      <c r="AB24" t="n">
        <v>23</v>
      </c>
      <c r="AC24" s="3" t="n"/>
      <c r="AE24" t="n">
        <v>23</v>
      </c>
      <c r="AF24" s="3" t="n"/>
      <c r="AH24" t="n">
        <v>23</v>
      </c>
      <c r="AI24" s="3" t="n"/>
    </row>
    <row r="25">
      <c r="A25" t="n">
        <v>24</v>
      </c>
      <c r="D25" t="n">
        <v>24</v>
      </c>
      <c r="E25" s="3" t="n"/>
      <c r="G25" t="n">
        <v>24</v>
      </c>
      <c r="H25" s="3" t="n"/>
      <c r="J25" t="n">
        <v>24</v>
      </c>
      <c r="K25" s="3" t="n"/>
      <c r="M25" t="n">
        <v>24</v>
      </c>
      <c r="N25" s="3" t="n"/>
      <c r="P25" t="n">
        <v>24</v>
      </c>
      <c r="Q25" s="3" t="n"/>
      <c r="S25" t="n">
        <v>24</v>
      </c>
      <c r="T25" s="3" t="n"/>
      <c r="V25" t="n">
        <v>24</v>
      </c>
      <c r="W25" s="3" t="n"/>
      <c r="Y25" t="n">
        <v>24</v>
      </c>
      <c r="Z25" s="3" t="n"/>
      <c r="AB25" t="n">
        <v>24</v>
      </c>
      <c r="AC25" s="3" t="n"/>
      <c r="AE25" t="n">
        <v>24</v>
      </c>
      <c r="AF25" s="3" t="n"/>
      <c r="AH25" t="n">
        <v>24</v>
      </c>
      <c r="AI25" s="3" t="n"/>
    </row>
    <row r="26">
      <c r="A26" t="n">
        <v>25</v>
      </c>
      <c r="D26" t="n">
        <v>25</v>
      </c>
      <c r="E26" s="3" t="n">
        <v>4280</v>
      </c>
      <c r="G26" t="n">
        <v>25</v>
      </c>
      <c r="H26" s="3" t="n"/>
      <c r="J26" t="n">
        <v>25</v>
      </c>
      <c r="K26" s="3" t="n"/>
      <c r="M26" t="n">
        <v>25</v>
      </c>
      <c r="N26" s="3" t="n"/>
      <c r="P26" t="n">
        <v>25</v>
      </c>
      <c r="Q26" s="3" t="n"/>
      <c r="S26" t="n">
        <v>25</v>
      </c>
      <c r="T26" s="3" t="n"/>
      <c r="V26" t="n">
        <v>25</v>
      </c>
      <c r="W26" s="3" t="n"/>
      <c r="Y26" t="n">
        <v>25</v>
      </c>
      <c r="Z26" s="3" t="n"/>
      <c r="AB26" t="n">
        <v>25</v>
      </c>
      <c r="AC26" s="3" t="n"/>
      <c r="AE26" t="n">
        <v>25</v>
      </c>
      <c r="AF26" s="3" t="n"/>
      <c r="AH26" t="n">
        <v>25</v>
      </c>
      <c r="AI26" s="3" t="n"/>
    </row>
    <row r="27">
      <c r="A27" t="n">
        <v>26</v>
      </c>
      <c r="D27" t="n">
        <v>26</v>
      </c>
      <c r="E27" s="3" t="n"/>
      <c r="G27" t="n">
        <v>26</v>
      </c>
      <c r="H27" s="3" t="n"/>
      <c r="J27" t="n">
        <v>26</v>
      </c>
      <c r="K27" s="3" t="n"/>
      <c r="M27" t="n">
        <v>26</v>
      </c>
      <c r="N27" s="3" t="n"/>
      <c r="P27" t="n">
        <v>26</v>
      </c>
      <c r="Q27" s="3" t="n"/>
      <c r="S27" t="n">
        <v>26</v>
      </c>
      <c r="T27" s="3" t="n"/>
      <c r="V27" t="n">
        <v>26</v>
      </c>
      <c r="W27" s="3" t="n"/>
      <c r="Y27" t="n">
        <v>26</v>
      </c>
      <c r="Z27" s="3" t="n"/>
      <c r="AB27" t="n">
        <v>26</v>
      </c>
      <c r="AC27" s="3" t="n"/>
      <c r="AE27" t="n">
        <v>26</v>
      </c>
      <c r="AF27" s="3" t="n"/>
      <c r="AH27" t="n">
        <v>26</v>
      </c>
      <c r="AI27" s="3" t="n"/>
    </row>
    <row r="28">
      <c r="A28" t="n">
        <v>27</v>
      </c>
      <c r="D28" t="n">
        <v>27</v>
      </c>
      <c r="E28" s="3" t="n"/>
      <c r="G28" t="n">
        <v>27</v>
      </c>
      <c r="H28" s="3" t="n"/>
      <c r="J28" t="n">
        <v>27</v>
      </c>
      <c r="K28" s="3" t="n"/>
      <c r="M28" t="n">
        <v>27</v>
      </c>
      <c r="N28" s="3" t="n"/>
      <c r="P28" t="n">
        <v>27</v>
      </c>
      <c r="Q28" s="3" t="n"/>
      <c r="S28" t="n">
        <v>27</v>
      </c>
      <c r="T28" s="3" t="n"/>
      <c r="V28" t="n">
        <v>27</v>
      </c>
      <c r="W28" s="3" t="n"/>
      <c r="Y28" t="n">
        <v>27</v>
      </c>
      <c r="Z28" s="3" t="n"/>
      <c r="AB28" t="n">
        <v>27</v>
      </c>
      <c r="AC28" s="3" t="n"/>
      <c r="AE28" t="n">
        <v>27</v>
      </c>
      <c r="AF28" s="3" t="n"/>
      <c r="AH28" t="n">
        <v>27</v>
      </c>
      <c r="AI28" s="3" t="n"/>
    </row>
    <row r="29">
      <c r="A29" t="n">
        <v>28</v>
      </c>
      <c r="D29" t="n">
        <v>28</v>
      </c>
      <c r="E29" s="3" t="n"/>
      <c r="G29" t="n">
        <v>28</v>
      </c>
      <c r="H29" s="3" t="n"/>
      <c r="J29" t="n">
        <v>28</v>
      </c>
      <c r="K29" s="3" t="n"/>
      <c r="M29" t="n">
        <v>28</v>
      </c>
      <c r="N29" s="3" t="n"/>
      <c r="P29" t="n">
        <v>28</v>
      </c>
      <c r="Q29" s="3" t="n"/>
      <c r="S29" t="n">
        <v>28</v>
      </c>
      <c r="T29" s="3" t="n"/>
      <c r="V29" t="n">
        <v>28</v>
      </c>
      <c r="W29" s="3" t="n"/>
      <c r="Y29" t="n">
        <v>28</v>
      </c>
      <c r="Z29" s="3" t="n"/>
      <c r="AB29" t="n">
        <v>28</v>
      </c>
      <c r="AC29" s="3" t="n"/>
      <c r="AE29" t="n">
        <v>28</v>
      </c>
      <c r="AF29" s="3" t="n"/>
      <c r="AH29" t="n">
        <v>28</v>
      </c>
      <c r="AI29" s="3" t="n"/>
    </row>
    <row r="30">
      <c r="A30" t="n">
        <v>29</v>
      </c>
      <c r="D30" t="n">
        <v>29</v>
      </c>
      <c r="E30" s="3" t="n"/>
      <c r="G30" t="n">
        <v>29</v>
      </c>
      <c r="H30" s="3" t="n"/>
      <c r="J30" t="n">
        <v>29</v>
      </c>
      <c r="K30" s="3" t="n"/>
      <c r="M30" t="n">
        <v>29</v>
      </c>
      <c r="N30" s="3" t="n"/>
      <c r="P30" t="n">
        <v>29</v>
      </c>
      <c r="Q30" s="3" t="n"/>
      <c r="S30" t="n">
        <v>29</v>
      </c>
      <c r="T30" s="3" t="n"/>
      <c r="V30" t="n">
        <v>29</v>
      </c>
      <c r="W30" s="3" t="n"/>
      <c r="Y30" t="n">
        <v>29</v>
      </c>
      <c r="Z30" s="3" t="n"/>
      <c r="AB30" t="n">
        <v>29</v>
      </c>
      <c r="AC30" s="3" t="n"/>
      <c r="AE30" t="n">
        <v>29</v>
      </c>
      <c r="AF30" s="3" t="n"/>
      <c r="AH30" t="n">
        <v>29</v>
      </c>
      <c r="AI30" s="3" t="n"/>
    </row>
    <row r="31">
      <c r="A31" t="n">
        <v>30</v>
      </c>
      <c r="D31" t="n">
        <v>30</v>
      </c>
      <c r="E31" s="3" t="n"/>
      <c r="G31" t="n">
        <v>30</v>
      </c>
      <c r="H31" s="3" t="n"/>
      <c r="J31" t="n">
        <v>30</v>
      </c>
      <c r="K31" s="3" t="n"/>
      <c r="M31" t="n">
        <v>30</v>
      </c>
      <c r="N31" s="3" t="n"/>
      <c r="P31" t="n">
        <v>30</v>
      </c>
      <c r="S31" t="n">
        <v>30</v>
      </c>
      <c r="V31" t="n">
        <v>30</v>
      </c>
      <c r="Y31" t="n">
        <v>30</v>
      </c>
      <c r="AB31" t="n">
        <v>30</v>
      </c>
      <c r="AC31" s="3" t="n"/>
      <c r="AE31" t="n">
        <v>30</v>
      </c>
      <c r="AF31" s="3" t="n"/>
      <c r="AH31" t="n">
        <v>30</v>
      </c>
      <c r="AI31" s="3" t="n"/>
    </row>
    <row r="32">
      <c r="A32" t="n">
        <v>31</v>
      </c>
      <c r="D32" t="n">
        <v>31</v>
      </c>
      <c r="E32" s="3" t="n"/>
      <c r="G32" t="n">
        <v>31</v>
      </c>
      <c r="H32" s="3" t="n"/>
      <c r="J32" t="n">
        <v>31</v>
      </c>
      <c r="K32" s="3" t="n"/>
      <c r="M32" t="n">
        <v>31</v>
      </c>
      <c r="N32" s="3" t="n"/>
      <c r="P32" t="n">
        <v>31</v>
      </c>
      <c r="S32" t="n">
        <v>31</v>
      </c>
      <c r="V32" t="n">
        <v>31</v>
      </c>
      <c r="Y32" t="n">
        <v>31</v>
      </c>
      <c r="AB32" t="n">
        <v>31</v>
      </c>
      <c r="AC32" s="3" t="n"/>
      <c r="AE32" t="n">
        <v>31</v>
      </c>
      <c r="AF32" s="3" t="n"/>
      <c r="AH32" t="n">
        <v>31</v>
      </c>
      <c r="AI32" s="3" t="n"/>
    </row>
    <row r="33">
      <c r="E33" s="3" t="n"/>
      <c r="H33" s="3" t="n"/>
    </row>
    <row r="34">
      <c r="E34" s="3" t="n"/>
      <c r="H34" s="3" t="n"/>
    </row>
    <row r="35">
      <c r="A35" t="inlineStr">
        <is>
          <t>Total</t>
        </is>
      </c>
      <c r="B35" s="3">
        <f>SUM(B2:B34)</f>
        <v/>
      </c>
      <c r="E35" s="3">
        <f>SUM(E2:E27)</f>
        <v/>
      </c>
      <c r="H35" s="3">
        <f>SUM(H2:H34)</f>
        <v/>
      </c>
      <c r="K35" s="3">
        <f>SUM(K2:K34)</f>
        <v/>
      </c>
      <c r="N35" s="3">
        <f>SUM(N2:N34)</f>
        <v/>
      </c>
      <c r="Q35" s="3">
        <f>SUM(Q2:Q34)</f>
        <v/>
      </c>
      <c r="T35" s="3">
        <f>SUM(T2:T34)</f>
        <v/>
      </c>
      <c r="W35" s="3">
        <f>SUM(W2:W34)</f>
        <v/>
      </c>
      <c r="Z35" s="3">
        <f>SUM(Z2:Z34)</f>
        <v/>
      </c>
      <c r="AC35" s="3">
        <f>SUM(AC2:AC34)</f>
        <v/>
      </c>
      <c r="AF35" s="3">
        <f>SUM(AF2:AF34)</f>
        <v/>
      </c>
      <c r="AI35" s="3">
        <f>SUM(AI2:AI34)</f>
        <v/>
      </c>
    </row>
  </sheetData>
  <mergeCells count="3">
    <mergeCell ref="D1:E1"/>
    <mergeCell ref="G1:H1"/>
    <mergeCell ref="A1:B1"/>
  </mergeCells>
  <conditionalFormatting sqref="B2:B32">
    <cfRule type="cellIs" priority="43" operator="lessThan" dxfId="1">
      <formula>0</formula>
    </cfRule>
    <cfRule type="cellIs" priority="44" operator="greaterThan" dxfId="0">
      <formula>0</formula>
    </cfRule>
  </conditionalFormatting>
  <conditionalFormatting sqref="B35">
    <cfRule type="cellIs" priority="42" operator="greaterThan" dxfId="0">
      <formula>0</formula>
    </cfRule>
    <cfRule type="cellIs" priority="41" operator="lessThan" dxfId="1">
      <formula>0</formula>
    </cfRule>
  </conditionalFormatting>
  <conditionalFormatting sqref="E2:E35">
    <cfRule type="cellIs" priority="39" operator="lessThan" dxfId="1">
      <formula>0</formula>
    </cfRule>
    <cfRule type="cellIs" priority="40" operator="greaterThan" dxfId="0">
      <formula>0</formula>
    </cfRule>
  </conditionalFormatting>
  <conditionalFormatting sqref="H2:H35">
    <cfRule type="cellIs" priority="34" operator="greaterThan" dxfId="0">
      <formula>0</formula>
    </cfRule>
    <cfRule type="cellIs" priority="33" operator="lessThan" dxfId="1">
      <formula>0</formula>
    </cfRule>
  </conditionalFormatting>
  <conditionalFormatting sqref="K2:K32">
    <cfRule type="cellIs" priority="38" operator="greaterThan" dxfId="0">
      <formula>0</formula>
    </cfRule>
    <cfRule type="cellIs" priority="37" operator="lessThan" dxfId="1">
      <formula>0</formula>
    </cfRule>
  </conditionalFormatting>
  <conditionalFormatting sqref="K35">
    <cfRule type="cellIs" priority="36" operator="greaterThan" dxfId="0">
      <formula>0</formula>
    </cfRule>
    <cfRule type="cellIs" priority="35" operator="lessThan" dxfId="1">
      <formula>0</formula>
    </cfRule>
  </conditionalFormatting>
  <conditionalFormatting sqref="N2:N32">
    <cfRule type="cellIs" priority="32" operator="greaterThan" dxfId="0">
      <formula>0</formula>
    </cfRule>
    <cfRule type="cellIs" priority="31" operator="lessThan" dxfId="1">
      <formula>0</formula>
    </cfRule>
  </conditionalFormatting>
  <conditionalFormatting sqref="N35">
    <cfRule type="cellIs" priority="30" operator="greaterThan" dxfId="0">
      <formula>0</formula>
    </cfRule>
    <cfRule type="cellIs" priority="29" operator="lessThan" dxfId="1">
      <formula>0</formula>
    </cfRule>
  </conditionalFormatting>
  <conditionalFormatting sqref="Q2:Q30">
    <cfRule type="cellIs" priority="28" operator="greaterThan" dxfId="0">
      <formula>0</formula>
    </cfRule>
    <cfRule type="cellIs" priority="27" operator="lessThan" dxfId="1">
      <formula>0</formula>
    </cfRule>
  </conditionalFormatting>
  <conditionalFormatting sqref="Q35">
    <cfRule type="cellIs" priority="26" operator="greaterThan" dxfId="0">
      <formula>0</formula>
    </cfRule>
    <cfRule type="cellIs" priority="25" operator="lessThan" dxfId="1">
      <formula>0</formula>
    </cfRule>
  </conditionalFormatting>
  <conditionalFormatting sqref="T2:T30">
    <cfRule type="cellIs" priority="23" operator="lessThan" dxfId="1">
      <formula>0</formula>
    </cfRule>
    <cfRule type="cellIs" priority="24" operator="greaterThan" dxfId="0">
      <formula>0</formula>
    </cfRule>
  </conditionalFormatting>
  <conditionalFormatting sqref="T35">
    <cfRule type="cellIs" priority="22" operator="greaterThan" dxfId="0">
      <formula>0</formula>
    </cfRule>
    <cfRule type="cellIs" priority="21" operator="lessThan" dxfId="1">
      <formula>0</formula>
    </cfRule>
  </conditionalFormatting>
  <conditionalFormatting sqref="W2:W30">
    <cfRule type="cellIs" priority="20" operator="greaterThan" dxfId="0">
      <formula>0</formula>
    </cfRule>
    <cfRule type="cellIs" priority="19" operator="lessThan" dxfId="1">
      <formula>0</formula>
    </cfRule>
  </conditionalFormatting>
  <conditionalFormatting sqref="W35">
    <cfRule type="cellIs" priority="18" operator="greaterThan" dxfId="0">
      <formula>0</formula>
    </cfRule>
    <cfRule type="cellIs" priority="17" operator="lessThan" dxfId="1">
      <formula>0</formula>
    </cfRule>
  </conditionalFormatting>
  <conditionalFormatting sqref="Z2:Z30">
    <cfRule type="cellIs" priority="16" operator="greaterThan" dxfId="0">
      <formula>0</formula>
    </cfRule>
    <cfRule type="cellIs" priority="15" operator="lessThan" dxfId="1">
      <formula>0</formula>
    </cfRule>
  </conditionalFormatting>
  <conditionalFormatting sqref="Z35">
    <cfRule type="cellIs" priority="14" operator="greaterThan" dxfId="0">
      <formula>0</formula>
    </cfRule>
    <cfRule type="cellIs" priority="13" operator="lessThan" dxfId="1">
      <formula>0</formula>
    </cfRule>
  </conditionalFormatting>
  <conditionalFormatting sqref="AC2:AC32">
    <cfRule type="cellIs" priority="11" operator="lessThan" dxfId="1">
      <formula>0</formula>
    </cfRule>
    <cfRule type="cellIs" priority="12" operator="greaterThan" dxfId="0">
      <formula>0</formula>
    </cfRule>
  </conditionalFormatting>
  <conditionalFormatting sqref="AC35">
    <cfRule type="cellIs" priority="10" operator="greaterThan" dxfId="0">
      <formula>0</formula>
    </cfRule>
    <cfRule type="cellIs" priority="9" operator="lessThan" dxfId="1">
      <formula>0</formula>
    </cfRule>
  </conditionalFormatting>
  <conditionalFormatting sqref="AF2:AF32">
    <cfRule type="cellIs" priority="8" operator="greaterThan" dxfId="0">
      <formula>0</formula>
    </cfRule>
    <cfRule type="cellIs" priority="7" operator="lessThan" dxfId="1">
      <formula>0</formula>
    </cfRule>
  </conditionalFormatting>
  <conditionalFormatting sqref="AF35">
    <cfRule type="cellIs" priority="6" operator="greaterThan" dxfId="0">
      <formula>0</formula>
    </cfRule>
    <cfRule type="cellIs" priority="5" operator="lessThan" dxfId="1">
      <formula>0</formula>
    </cfRule>
  </conditionalFormatting>
  <conditionalFormatting sqref="AI2:AI32">
    <cfRule type="cellIs" priority="4" operator="greaterThan" dxfId="0">
      <formula>0</formula>
    </cfRule>
    <cfRule type="cellIs" priority="3" operator="lessThan" dxfId="1">
      <formula>0</formula>
    </cfRule>
  </conditionalFormatting>
  <conditionalFormatting sqref="AI35">
    <cfRule type="cellIs" priority="2" operator="greaterThan" dxfId="0">
      <formula>0</formula>
    </cfRule>
    <cfRule type="cellIs" priority="1" operator="lessThan" dxfId="1">
      <formula>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selection activeCell="K2" sqref="K2"/>
    </sheetView>
  </sheetViews>
  <sheetFormatPr baseColWidth="8" defaultRowHeight="15"/>
  <cols>
    <col width="18.42578125" customWidth="1" min="1" max="1"/>
    <col width="15.42578125" customWidth="1" style="3" min="2" max="2"/>
    <col width="11.5703125" customWidth="1" min="4" max="4"/>
    <col width="12.5703125" customWidth="1" min="5" max="5"/>
    <col width="11.5703125" customWidth="1" min="7" max="7"/>
    <col width="12.5703125" customWidth="1" min="8" max="8"/>
    <col width="11.5703125" customWidth="1" min="10" max="10"/>
    <col width="10.140625" bestFit="1" customWidth="1" min="11" max="11"/>
    <col width="10.42578125" bestFit="1" customWidth="1" min="13" max="13"/>
    <col width="10.85546875" bestFit="1" customWidth="1" min="14" max="14"/>
    <col width="10.85546875" bestFit="1" customWidth="1" min="17" max="17"/>
    <col width="10.85546875" bestFit="1" customWidth="1" min="20" max="20"/>
    <col width="10.85546875" bestFit="1" customWidth="1" min="23" max="23"/>
    <col width="10.85546875" bestFit="1" customWidth="1" min="26" max="26"/>
    <col width="10.85546875" bestFit="1" customWidth="1" min="29" max="29"/>
    <col width="10.85546875" bestFit="1" customWidth="1" min="32" max="32"/>
    <col width="10.140625" bestFit="1" customWidth="1" min="35" max="35"/>
  </cols>
  <sheetData>
    <row r="1" customFormat="1" s="2">
      <c r="A1" s="9" t="inlineStr">
        <is>
          <t>January</t>
        </is>
      </c>
      <c r="D1" s="9" t="inlineStr">
        <is>
          <t>February</t>
        </is>
      </c>
      <c r="G1" s="9" t="inlineStr">
        <is>
          <t>March</t>
        </is>
      </c>
      <c r="J1" s="2" t="inlineStr">
        <is>
          <t>April</t>
        </is>
      </c>
      <c r="M1" s="2" t="inlineStr">
        <is>
          <t>May</t>
        </is>
      </c>
      <c r="P1" s="2" t="inlineStr">
        <is>
          <t>Jun</t>
        </is>
      </c>
      <c r="S1" s="2" t="inlineStr">
        <is>
          <t>Jul</t>
        </is>
      </c>
      <c r="V1" s="2" t="inlineStr">
        <is>
          <t>Aug</t>
        </is>
      </c>
      <c r="Y1" s="2" t="inlineStr">
        <is>
          <t>Sep</t>
        </is>
      </c>
      <c r="AB1" s="2" t="inlineStr">
        <is>
          <t>Oct</t>
        </is>
      </c>
      <c r="AE1" s="2" t="inlineStr">
        <is>
          <t>Nov</t>
        </is>
      </c>
      <c r="AH1" s="2" t="inlineStr">
        <is>
          <t>Dec</t>
        </is>
      </c>
    </row>
    <row r="2">
      <c r="A2" t="n">
        <v>1</v>
      </c>
      <c r="D2" t="n">
        <v>1</v>
      </c>
      <c r="E2" s="3" t="n"/>
      <c r="G2" t="n">
        <v>1</v>
      </c>
      <c r="H2" s="3" t="n"/>
      <c r="J2" t="n">
        <v>1</v>
      </c>
      <c r="K2" s="3" t="n"/>
      <c r="M2" t="n">
        <v>1</v>
      </c>
      <c r="N2" s="3" t="n"/>
      <c r="P2" t="n">
        <v>1</v>
      </c>
      <c r="Q2" s="3" t="n"/>
      <c r="S2" t="n">
        <v>1</v>
      </c>
      <c r="T2" s="3" t="n"/>
      <c r="V2" t="n">
        <v>1</v>
      </c>
      <c r="W2" s="3" t="n"/>
      <c r="Y2" t="n">
        <v>1</v>
      </c>
      <c r="Z2" s="3" t="n"/>
      <c r="AB2" t="n">
        <v>1</v>
      </c>
      <c r="AC2" s="3" t="n"/>
      <c r="AE2" t="n">
        <v>1</v>
      </c>
      <c r="AF2" s="3" t="n"/>
      <c r="AH2" t="n">
        <v>1</v>
      </c>
      <c r="AI2" s="3" t="n"/>
    </row>
    <row r="3">
      <c r="A3" t="n">
        <v>2</v>
      </c>
      <c r="D3" t="n">
        <v>2</v>
      </c>
      <c r="E3" s="3" t="n"/>
      <c r="G3" t="n">
        <v>2</v>
      </c>
      <c r="H3" s="3" t="n"/>
      <c r="J3" t="n">
        <v>2</v>
      </c>
      <c r="K3" s="3" t="n"/>
      <c r="M3" t="n">
        <v>2</v>
      </c>
      <c r="N3" s="3" t="n"/>
      <c r="P3" t="n">
        <v>2</v>
      </c>
      <c r="Q3" s="3" t="n"/>
      <c r="S3" t="n">
        <v>2</v>
      </c>
      <c r="T3" s="3" t="n"/>
      <c r="V3" t="n">
        <v>2</v>
      </c>
      <c r="W3" s="3" t="n"/>
      <c r="Y3" t="n">
        <v>2</v>
      </c>
      <c r="Z3" s="3" t="n"/>
      <c r="AB3" t="n">
        <v>2</v>
      </c>
      <c r="AC3" s="3" t="n"/>
      <c r="AE3" t="n">
        <v>2</v>
      </c>
      <c r="AF3" s="3" t="n"/>
      <c r="AH3" t="n">
        <v>2</v>
      </c>
      <c r="AI3" s="3" t="n"/>
    </row>
    <row r="4">
      <c r="A4" t="n">
        <v>3</v>
      </c>
      <c r="D4" t="n">
        <v>3</v>
      </c>
      <c r="E4" s="3" t="n"/>
      <c r="G4" t="n">
        <v>3</v>
      </c>
      <c r="H4" s="3" t="n"/>
      <c r="J4" t="n">
        <v>3</v>
      </c>
      <c r="K4" s="3" t="n"/>
      <c r="M4" t="n">
        <v>3</v>
      </c>
      <c r="N4" s="3" t="n"/>
      <c r="P4" t="n">
        <v>3</v>
      </c>
      <c r="Q4" s="3" t="n"/>
      <c r="S4" t="n">
        <v>3</v>
      </c>
      <c r="T4" s="3" t="n"/>
      <c r="V4" t="n">
        <v>3</v>
      </c>
      <c r="W4" s="3" t="n"/>
      <c r="Y4" t="n">
        <v>3</v>
      </c>
      <c r="Z4" s="3" t="n"/>
      <c r="AB4" t="n">
        <v>3</v>
      </c>
      <c r="AC4" s="3" t="n"/>
      <c r="AE4" t="n">
        <v>3</v>
      </c>
      <c r="AF4" s="3" t="n"/>
      <c r="AH4" t="n">
        <v>3</v>
      </c>
      <c r="AI4" s="3" t="n"/>
    </row>
    <row r="5">
      <c r="A5" t="n">
        <v>4</v>
      </c>
      <c r="D5" t="n">
        <v>4</v>
      </c>
      <c r="E5" s="3" t="n"/>
      <c r="G5" t="n">
        <v>4</v>
      </c>
      <c r="H5" s="3" t="n"/>
      <c r="J5" t="n">
        <v>4</v>
      </c>
      <c r="K5" s="3" t="n"/>
      <c r="M5" t="n">
        <v>4</v>
      </c>
      <c r="N5" s="3" t="n"/>
      <c r="P5" t="n">
        <v>4</v>
      </c>
      <c r="Q5" s="3" t="n"/>
      <c r="S5" t="n">
        <v>4</v>
      </c>
      <c r="T5" s="3" t="n"/>
      <c r="V5" t="n">
        <v>4</v>
      </c>
      <c r="W5" s="3" t="n"/>
      <c r="Y5" t="n">
        <v>4</v>
      </c>
      <c r="Z5" s="3" t="n"/>
      <c r="AB5" t="n">
        <v>4</v>
      </c>
      <c r="AC5" s="3" t="n"/>
      <c r="AE5" t="n">
        <v>4</v>
      </c>
      <c r="AF5" s="3" t="n"/>
      <c r="AH5" t="n">
        <v>4</v>
      </c>
      <c r="AI5" s="3" t="n"/>
    </row>
    <row r="6">
      <c r="A6" t="n">
        <v>5</v>
      </c>
      <c r="D6" t="n">
        <v>5</v>
      </c>
      <c r="E6" s="3" t="n"/>
      <c r="G6" t="n">
        <v>5</v>
      </c>
      <c r="H6" s="3" t="n"/>
      <c r="J6" t="n">
        <v>5</v>
      </c>
      <c r="K6" s="3" t="n"/>
      <c r="M6" t="n">
        <v>5</v>
      </c>
      <c r="N6" s="3" t="n"/>
      <c r="P6" t="n">
        <v>5</v>
      </c>
      <c r="Q6" s="3" t="n"/>
      <c r="S6" t="n">
        <v>5</v>
      </c>
      <c r="T6" s="3" t="n"/>
      <c r="V6" t="n">
        <v>5</v>
      </c>
      <c r="W6" s="3" t="n"/>
      <c r="Y6" t="n">
        <v>5</v>
      </c>
      <c r="Z6" s="3" t="n"/>
      <c r="AB6" t="n">
        <v>5</v>
      </c>
      <c r="AC6" s="3" t="n"/>
      <c r="AE6" t="n">
        <v>5</v>
      </c>
      <c r="AF6" s="3" t="n"/>
      <c r="AH6" t="n">
        <v>5</v>
      </c>
      <c r="AI6" s="3" t="n"/>
    </row>
    <row r="7">
      <c r="A7" t="n">
        <v>6</v>
      </c>
      <c r="D7" t="n">
        <v>6</v>
      </c>
      <c r="E7" s="3" t="n"/>
      <c r="G7" t="n">
        <v>6</v>
      </c>
      <c r="H7" s="3" t="n"/>
      <c r="J7" t="n">
        <v>6</v>
      </c>
      <c r="K7" s="3" t="n"/>
      <c r="M7" t="n">
        <v>6</v>
      </c>
      <c r="N7" s="3" t="n"/>
      <c r="P7" t="n">
        <v>6</v>
      </c>
      <c r="Q7" s="3" t="n"/>
      <c r="S7" t="n">
        <v>6</v>
      </c>
      <c r="T7" s="3" t="n"/>
      <c r="V7" t="n">
        <v>6</v>
      </c>
      <c r="W7" s="3" t="n"/>
      <c r="Y7" t="n">
        <v>6</v>
      </c>
      <c r="Z7" s="3" t="n"/>
      <c r="AB7" t="n">
        <v>6</v>
      </c>
      <c r="AC7" s="3" t="n"/>
      <c r="AE7" t="n">
        <v>6</v>
      </c>
      <c r="AF7" s="3" t="n"/>
      <c r="AH7" t="n">
        <v>6</v>
      </c>
      <c r="AI7" s="3" t="n"/>
    </row>
    <row r="8">
      <c r="A8" t="n">
        <v>7</v>
      </c>
      <c r="D8" t="n">
        <v>7</v>
      </c>
      <c r="E8" s="3" t="n"/>
      <c r="G8" t="n">
        <v>7</v>
      </c>
      <c r="H8" s="3" t="n"/>
      <c r="J8" t="n">
        <v>7</v>
      </c>
      <c r="K8" s="3" t="n"/>
      <c r="M8" t="n">
        <v>7</v>
      </c>
      <c r="N8" s="3" t="n"/>
      <c r="P8" t="n">
        <v>7</v>
      </c>
      <c r="Q8" s="3" t="n"/>
      <c r="S8" t="n">
        <v>7</v>
      </c>
      <c r="T8" s="3" t="n"/>
      <c r="V8" t="n">
        <v>7</v>
      </c>
      <c r="W8" s="3" t="n"/>
      <c r="Y8" t="n">
        <v>7</v>
      </c>
      <c r="Z8" s="3" t="n"/>
      <c r="AB8" t="n">
        <v>7</v>
      </c>
      <c r="AC8" s="3" t="n"/>
      <c r="AE8" t="n">
        <v>7</v>
      </c>
      <c r="AF8" s="3" t="n"/>
      <c r="AH8" t="n">
        <v>7</v>
      </c>
      <c r="AI8" s="3" t="n"/>
    </row>
    <row r="9">
      <c r="A9" t="n">
        <v>8</v>
      </c>
      <c r="D9" t="n">
        <v>8</v>
      </c>
      <c r="E9" s="3" t="n"/>
      <c r="G9" t="n">
        <v>8</v>
      </c>
      <c r="H9" s="3" t="n"/>
      <c r="J9" t="n">
        <v>8</v>
      </c>
      <c r="K9" s="3" t="n"/>
      <c r="M9" t="n">
        <v>8</v>
      </c>
      <c r="N9" s="3" t="n"/>
      <c r="P9" t="n">
        <v>8</v>
      </c>
      <c r="Q9" s="3" t="n"/>
      <c r="S9" t="n">
        <v>8</v>
      </c>
      <c r="T9" s="3" t="n"/>
      <c r="V9" t="n">
        <v>8</v>
      </c>
      <c r="W9" s="3" t="n"/>
      <c r="Y9" t="n">
        <v>8</v>
      </c>
      <c r="Z9" s="3" t="n"/>
      <c r="AB9" t="n">
        <v>8</v>
      </c>
      <c r="AC9" s="3" t="n"/>
      <c r="AE9" t="n">
        <v>8</v>
      </c>
      <c r="AF9" s="3" t="n"/>
      <c r="AH9" t="n">
        <v>8</v>
      </c>
      <c r="AI9" s="3" t="n"/>
    </row>
    <row r="10">
      <c r="A10" t="n">
        <v>9</v>
      </c>
      <c r="D10" t="n">
        <v>9</v>
      </c>
      <c r="E10" s="3" t="n"/>
      <c r="G10" t="n">
        <v>9</v>
      </c>
      <c r="H10" s="3" t="n"/>
      <c r="J10" t="n">
        <v>9</v>
      </c>
      <c r="K10" s="3" t="n"/>
      <c r="M10" t="n">
        <v>9</v>
      </c>
      <c r="N10" s="3" t="n"/>
      <c r="P10" t="n">
        <v>9</v>
      </c>
      <c r="Q10" s="3" t="n"/>
      <c r="S10" t="n">
        <v>9</v>
      </c>
      <c r="T10" s="3" t="n"/>
      <c r="V10" t="n">
        <v>9</v>
      </c>
      <c r="W10" s="3" t="n"/>
      <c r="Y10" t="n">
        <v>9</v>
      </c>
      <c r="Z10" s="3" t="n"/>
      <c r="AB10" t="n">
        <v>9</v>
      </c>
      <c r="AC10" s="3" t="n"/>
      <c r="AE10" t="n">
        <v>9</v>
      </c>
      <c r="AF10" s="3" t="n"/>
      <c r="AH10" t="n">
        <v>9</v>
      </c>
      <c r="AI10" s="3" t="n"/>
    </row>
    <row r="11">
      <c r="A11" t="n">
        <v>10</v>
      </c>
      <c r="D11" t="n">
        <v>10</v>
      </c>
      <c r="E11" s="3" t="n">
        <v>-460</v>
      </c>
      <c r="G11" t="n">
        <v>10</v>
      </c>
      <c r="H11" s="3" t="n"/>
      <c r="J11" t="n">
        <v>10</v>
      </c>
      <c r="K11" s="3" t="n"/>
      <c r="M11" t="n">
        <v>10</v>
      </c>
      <c r="N11" s="3" t="n"/>
      <c r="P11" t="n">
        <v>10</v>
      </c>
      <c r="Q11" s="3" t="n"/>
      <c r="S11" t="n">
        <v>10</v>
      </c>
      <c r="T11" s="3" t="n"/>
      <c r="V11" t="n">
        <v>10</v>
      </c>
      <c r="W11" s="3" t="n"/>
      <c r="Y11" t="n">
        <v>10</v>
      </c>
      <c r="Z11" s="3" t="n"/>
      <c r="AB11" t="n">
        <v>10</v>
      </c>
      <c r="AC11" s="3" t="n"/>
      <c r="AE11" t="n">
        <v>10</v>
      </c>
      <c r="AF11" s="3" t="n"/>
      <c r="AH11" t="n">
        <v>10</v>
      </c>
      <c r="AI11" s="3" t="n"/>
    </row>
    <row r="12">
      <c r="A12" t="n">
        <v>11</v>
      </c>
      <c r="D12" t="n">
        <v>11</v>
      </c>
      <c r="E12" s="3" t="n">
        <v>1205</v>
      </c>
      <c r="G12" t="n">
        <v>11</v>
      </c>
      <c r="H12" s="3" t="n"/>
      <c r="J12" t="n">
        <v>11</v>
      </c>
      <c r="K12" s="3" t="n"/>
      <c r="M12" t="n">
        <v>11</v>
      </c>
      <c r="N12" s="3" t="n"/>
      <c r="P12" t="n">
        <v>11</v>
      </c>
      <c r="Q12" s="3" t="n"/>
      <c r="S12" t="n">
        <v>11</v>
      </c>
      <c r="T12" s="3" t="n"/>
      <c r="V12" t="n">
        <v>11</v>
      </c>
      <c r="W12" s="3" t="n"/>
      <c r="Y12" t="n">
        <v>11</v>
      </c>
      <c r="Z12" s="3" t="n"/>
      <c r="AB12" t="n">
        <v>11</v>
      </c>
      <c r="AC12" s="3" t="n"/>
      <c r="AE12" t="n">
        <v>11</v>
      </c>
      <c r="AF12" s="3" t="n"/>
      <c r="AH12" t="n">
        <v>11</v>
      </c>
      <c r="AI12" s="3" t="n"/>
    </row>
    <row r="13">
      <c r="A13" t="n">
        <v>12</v>
      </c>
      <c r="D13" t="n">
        <v>12</v>
      </c>
      <c r="E13" s="3" t="n"/>
      <c r="G13" t="n">
        <v>12</v>
      </c>
      <c r="H13" s="3" t="n"/>
      <c r="J13" t="n">
        <v>12</v>
      </c>
      <c r="K13" s="3" t="n"/>
      <c r="M13" t="n">
        <v>12</v>
      </c>
      <c r="N13" s="3" t="n"/>
      <c r="P13" t="n">
        <v>12</v>
      </c>
      <c r="Q13" s="3" t="n"/>
      <c r="S13" t="n">
        <v>12</v>
      </c>
      <c r="T13" s="3" t="n"/>
      <c r="V13" t="n">
        <v>12</v>
      </c>
      <c r="W13" s="3" t="n"/>
      <c r="Y13" t="n">
        <v>12</v>
      </c>
      <c r="Z13" s="3" t="n"/>
      <c r="AB13" t="n">
        <v>12</v>
      </c>
      <c r="AC13" s="3" t="n"/>
      <c r="AE13" t="n">
        <v>12</v>
      </c>
      <c r="AF13" s="3" t="n"/>
      <c r="AH13" t="n">
        <v>12</v>
      </c>
      <c r="AI13" s="3" t="n"/>
    </row>
    <row r="14">
      <c r="A14" t="n">
        <v>13</v>
      </c>
      <c r="D14" t="n">
        <v>13</v>
      </c>
      <c r="E14" s="3" t="n"/>
      <c r="G14" t="n">
        <v>13</v>
      </c>
      <c r="H14" s="3" t="n"/>
      <c r="J14" t="n">
        <v>13</v>
      </c>
      <c r="K14" s="3" t="n"/>
      <c r="M14" t="n">
        <v>13</v>
      </c>
      <c r="N14" s="3" t="n"/>
      <c r="P14" t="n">
        <v>13</v>
      </c>
      <c r="Q14" s="3" t="n"/>
      <c r="S14" t="n">
        <v>13</v>
      </c>
      <c r="T14" s="3" t="n"/>
      <c r="V14" t="n">
        <v>13</v>
      </c>
      <c r="W14" s="3" t="n"/>
      <c r="Y14" t="n">
        <v>13</v>
      </c>
      <c r="Z14" s="3" t="n"/>
      <c r="AB14" t="n">
        <v>13</v>
      </c>
      <c r="AC14" s="3" t="n"/>
      <c r="AE14" t="n">
        <v>13</v>
      </c>
      <c r="AF14" s="3" t="n"/>
      <c r="AH14" t="n">
        <v>13</v>
      </c>
      <c r="AI14" s="3" t="n"/>
    </row>
    <row r="15">
      <c r="A15" t="n">
        <v>14</v>
      </c>
      <c r="D15" t="n">
        <v>14</v>
      </c>
      <c r="E15" s="3" t="n"/>
      <c r="G15" t="n">
        <v>14</v>
      </c>
      <c r="H15" s="3" t="n"/>
      <c r="J15" t="n">
        <v>14</v>
      </c>
      <c r="K15" s="3" t="n"/>
      <c r="M15" t="n">
        <v>14</v>
      </c>
      <c r="N15" s="3" t="n"/>
      <c r="P15" t="n">
        <v>14</v>
      </c>
      <c r="Q15" s="3" t="n"/>
      <c r="S15" t="n">
        <v>14</v>
      </c>
      <c r="T15" s="3" t="n"/>
      <c r="V15" t="n">
        <v>14</v>
      </c>
      <c r="W15" s="3" t="n"/>
      <c r="Y15" t="n">
        <v>14</v>
      </c>
      <c r="Z15" s="3" t="n"/>
      <c r="AB15" t="n">
        <v>14</v>
      </c>
      <c r="AC15" s="3" t="n"/>
      <c r="AE15" t="n">
        <v>14</v>
      </c>
      <c r="AF15" s="3" t="n"/>
      <c r="AH15" t="n">
        <v>14</v>
      </c>
      <c r="AI15" s="3" t="n"/>
    </row>
    <row r="16">
      <c r="A16" t="n">
        <v>15</v>
      </c>
      <c r="D16" t="n">
        <v>15</v>
      </c>
      <c r="E16" s="3" t="n"/>
      <c r="G16" t="n">
        <v>15</v>
      </c>
      <c r="H16" s="3" t="n"/>
      <c r="J16" t="n">
        <v>15</v>
      </c>
      <c r="K16" s="3" t="n"/>
      <c r="M16" t="n">
        <v>15</v>
      </c>
      <c r="N16" s="3" t="n"/>
      <c r="P16" t="n">
        <v>15</v>
      </c>
      <c r="Q16" s="3" t="n"/>
      <c r="S16" t="n">
        <v>15</v>
      </c>
      <c r="T16" s="3" t="n"/>
      <c r="V16" t="n">
        <v>15</v>
      </c>
      <c r="W16" s="3" t="n"/>
      <c r="Y16" t="n">
        <v>15</v>
      </c>
      <c r="Z16" s="3" t="n"/>
      <c r="AB16" t="n">
        <v>15</v>
      </c>
      <c r="AC16" s="3" t="n"/>
      <c r="AE16" t="n">
        <v>15</v>
      </c>
      <c r="AF16" s="3" t="n"/>
      <c r="AH16" t="n">
        <v>15</v>
      </c>
      <c r="AI16" s="3" t="n"/>
    </row>
    <row r="17">
      <c r="A17" t="n">
        <v>16</v>
      </c>
      <c r="D17" t="n">
        <v>16</v>
      </c>
      <c r="E17" s="3" t="n"/>
      <c r="G17" t="n">
        <v>16</v>
      </c>
      <c r="H17" s="3" t="n"/>
      <c r="J17" t="n">
        <v>16</v>
      </c>
      <c r="K17" s="3" t="n"/>
      <c r="M17" t="n">
        <v>16</v>
      </c>
      <c r="N17" s="3" t="n"/>
      <c r="P17" t="n">
        <v>16</v>
      </c>
      <c r="Q17" s="3" t="n"/>
      <c r="S17" t="n">
        <v>16</v>
      </c>
      <c r="T17" s="3" t="n"/>
      <c r="V17" t="n">
        <v>16</v>
      </c>
      <c r="W17" s="3" t="n"/>
      <c r="Y17" t="n">
        <v>16</v>
      </c>
      <c r="Z17" s="3" t="n"/>
      <c r="AB17" t="n">
        <v>16</v>
      </c>
      <c r="AC17" s="3" t="n"/>
      <c r="AE17" t="n">
        <v>16</v>
      </c>
      <c r="AF17" s="3" t="n"/>
      <c r="AH17" t="n">
        <v>16</v>
      </c>
      <c r="AI17" s="3" t="n"/>
    </row>
    <row r="18">
      <c r="A18" t="n">
        <v>17</v>
      </c>
      <c r="D18" t="n">
        <v>17</v>
      </c>
      <c r="E18" s="3" t="n"/>
      <c r="G18" t="n">
        <v>17</v>
      </c>
      <c r="H18" s="3" t="n"/>
      <c r="J18" t="n">
        <v>17</v>
      </c>
      <c r="K18" s="3" t="n"/>
      <c r="M18" t="n">
        <v>17</v>
      </c>
      <c r="N18" s="3" t="n"/>
      <c r="P18" t="n">
        <v>17</v>
      </c>
      <c r="Q18" s="3" t="n"/>
      <c r="S18" t="n">
        <v>17</v>
      </c>
      <c r="T18" s="3" t="n"/>
      <c r="V18" t="n">
        <v>17</v>
      </c>
      <c r="W18" s="3" t="n"/>
      <c r="Y18" t="n">
        <v>17</v>
      </c>
      <c r="Z18" s="3" t="n"/>
      <c r="AB18" t="n">
        <v>17</v>
      </c>
      <c r="AC18" s="3" t="n"/>
      <c r="AE18" t="n">
        <v>17</v>
      </c>
      <c r="AF18" s="3" t="n"/>
      <c r="AH18" t="n">
        <v>17</v>
      </c>
      <c r="AI18" s="3" t="n"/>
    </row>
    <row r="19">
      <c r="A19" t="n">
        <v>18</v>
      </c>
      <c r="D19" t="n">
        <v>18</v>
      </c>
      <c r="E19" s="3" t="n">
        <v>740</v>
      </c>
      <c r="G19" t="n">
        <v>18</v>
      </c>
      <c r="H19" s="3" t="n"/>
      <c r="J19" t="n">
        <v>18</v>
      </c>
      <c r="K19" s="3" t="n"/>
      <c r="M19" t="n">
        <v>18</v>
      </c>
      <c r="N19" s="3" t="n"/>
      <c r="P19" t="n">
        <v>18</v>
      </c>
      <c r="Q19" s="3" t="n"/>
      <c r="S19" t="n">
        <v>18</v>
      </c>
      <c r="T19" s="3" t="n"/>
      <c r="V19" t="n">
        <v>18</v>
      </c>
      <c r="W19" s="3" t="n"/>
      <c r="Y19" t="n">
        <v>18</v>
      </c>
      <c r="Z19" s="3" t="n"/>
      <c r="AB19" t="n">
        <v>18</v>
      </c>
      <c r="AC19" s="3" t="n"/>
      <c r="AE19" t="n">
        <v>18</v>
      </c>
      <c r="AF19" s="3" t="n"/>
      <c r="AH19" t="n">
        <v>18</v>
      </c>
      <c r="AI19" s="3" t="n"/>
    </row>
    <row r="20">
      <c r="A20" t="n">
        <v>19</v>
      </c>
      <c r="D20" t="n">
        <v>19</v>
      </c>
      <c r="E20" s="3" t="n"/>
      <c r="G20" t="n">
        <v>19</v>
      </c>
      <c r="H20" s="3" t="n"/>
      <c r="J20" t="n">
        <v>19</v>
      </c>
      <c r="K20" s="3" t="n"/>
      <c r="M20" t="n">
        <v>19</v>
      </c>
      <c r="N20" s="3" t="n"/>
      <c r="P20" t="n">
        <v>19</v>
      </c>
      <c r="Q20" s="3" t="n"/>
      <c r="S20" t="n">
        <v>19</v>
      </c>
      <c r="T20" s="3" t="n"/>
      <c r="V20" t="n">
        <v>19</v>
      </c>
      <c r="W20" s="3" t="n"/>
      <c r="Y20" t="n">
        <v>19</v>
      </c>
      <c r="Z20" s="3" t="n"/>
      <c r="AB20" t="n">
        <v>19</v>
      </c>
      <c r="AC20" s="3" t="n"/>
      <c r="AE20" t="n">
        <v>19</v>
      </c>
      <c r="AF20" s="3" t="n"/>
      <c r="AH20" t="n">
        <v>19</v>
      </c>
      <c r="AI20" s="3" t="n"/>
    </row>
    <row r="21">
      <c r="A21" t="n">
        <v>20</v>
      </c>
      <c r="D21" t="n">
        <v>20</v>
      </c>
      <c r="E21" s="3" t="n"/>
      <c r="G21" t="n">
        <v>20</v>
      </c>
      <c r="H21" s="3" t="n"/>
      <c r="J21" t="n">
        <v>20</v>
      </c>
      <c r="K21" s="3" t="n"/>
      <c r="M21" t="n">
        <v>20</v>
      </c>
      <c r="N21" s="3" t="n"/>
      <c r="P21" t="n">
        <v>20</v>
      </c>
      <c r="Q21" s="3" t="n"/>
      <c r="S21" t="n">
        <v>20</v>
      </c>
      <c r="T21" s="3" t="n"/>
      <c r="V21" t="n">
        <v>20</v>
      </c>
      <c r="W21" s="3" t="n"/>
      <c r="Y21" t="n">
        <v>20</v>
      </c>
      <c r="Z21" s="3" t="n"/>
      <c r="AB21" t="n">
        <v>20</v>
      </c>
      <c r="AC21" s="3" t="n"/>
      <c r="AE21" t="n">
        <v>20</v>
      </c>
      <c r="AF21" s="3" t="n"/>
      <c r="AH21" t="n">
        <v>20</v>
      </c>
      <c r="AI21" s="3" t="n"/>
    </row>
    <row r="22">
      <c r="A22" t="n">
        <v>21</v>
      </c>
      <c r="D22" t="n">
        <v>21</v>
      </c>
      <c r="E22" s="3" t="n"/>
      <c r="G22" t="n">
        <v>21</v>
      </c>
      <c r="H22" s="3" t="n"/>
      <c r="J22" t="n">
        <v>21</v>
      </c>
      <c r="K22" s="3" t="n"/>
      <c r="M22" t="n">
        <v>21</v>
      </c>
      <c r="N22" s="3" t="n"/>
      <c r="P22" t="n">
        <v>21</v>
      </c>
      <c r="Q22" s="3" t="n"/>
      <c r="S22" t="n">
        <v>21</v>
      </c>
      <c r="T22" s="3" t="n"/>
      <c r="V22" t="n">
        <v>21</v>
      </c>
      <c r="W22" s="3" t="n"/>
      <c r="Y22" t="n">
        <v>21</v>
      </c>
      <c r="Z22" s="3" t="n"/>
      <c r="AB22" t="n">
        <v>21</v>
      </c>
      <c r="AC22" s="3" t="n"/>
      <c r="AE22" t="n">
        <v>21</v>
      </c>
      <c r="AF22" s="3" t="n"/>
      <c r="AH22" t="n">
        <v>21</v>
      </c>
      <c r="AI22" s="3" t="n"/>
    </row>
    <row r="23">
      <c r="A23" t="n">
        <v>22</v>
      </c>
      <c r="D23" t="n">
        <v>22</v>
      </c>
      <c r="E23" s="3" t="n"/>
      <c r="G23" t="n">
        <v>22</v>
      </c>
      <c r="H23" s="3" t="n"/>
      <c r="J23" t="n">
        <v>22</v>
      </c>
      <c r="K23" s="3" t="n"/>
      <c r="M23" t="n">
        <v>22</v>
      </c>
      <c r="N23" s="3" t="n"/>
      <c r="P23" t="n">
        <v>22</v>
      </c>
      <c r="Q23" s="3" t="n"/>
      <c r="S23" t="n">
        <v>22</v>
      </c>
      <c r="T23" s="3" t="n"/>
      <c r="V23" t="n">
        <v>22</v>
      </c>
      <c r="W23" s="3" t="n"/>
      <c r="Y23" t="n">
        <v>22</v>
      </c>
      <c r="Z23" s="3" t="n"/>
      <c r="AB23" t="n">
        <v>22</v>
      </c>
      <c r="AC23" s="3" t="n"/>
      <c r="AE23" t="n">
        <v>22</v>
      </c>
      <c r="AF23" s="3" t="n"/>
      <c r="AH23" t="n">
        <v>22</v>
      </c>
      <c r="AI23" s="3" t="n"/>
    </row>
    <row r="24">
      <c r="A24" t="n">
        <v>23</v>
      </c>
      <c r="D24" t="n">
        <v>23</v>
      </c>
      <c r="E24" s="3" t="n"/>
      <c r="G24" t="n">
        <v>23</v>
      </c>
      <c r="H24" s="3" t="n"/>
      <c r="J24" t="n">
        <v>23</v>
      </c>
      <c r="K24" s="3" t="n"/>
      <c r="M24" t="n">
        <v>23</v>
      </c>
      <c r="N24" s="3" t="n"/>
      <c r="P24" t="n">
        <v>23</v>
      </c>
      <c r="Q24" s="3" t="n"/>
      <c r="S24" t="n">
        <v>23</v>
      </c>
      <c r="T24" s="3" t="n"/>
      <c r="V24" t="n">
        <v>23</v>
      </c>
      <c r="W24" s="3" t="n"/>
      <c r="Y24" t="n">
        <v>23</v>
      </c>
      <c r="Z24" s="3" t="n"/>
      <c r="AB24" t="n">
        <v>23</v>
      </c>
      <c r="AC24" s="3" t="n"/>
      <c r="AE24" t="n">
        <v>23</v>
      </c>
      <c r="AF24" s="3" t="n"/>
      <c r="AH24" t="n">
        <v>23</v>
      </c>
      <c r="AI24" s="3" t="n"/>
    </row>
    <row r="25">
      <c r="A25" t="n">
        <v>24</v>
      </c>
      <c r="D25" t="n">
        <v>24</v>
      </c>
      <c r="E25" s="3" t="n"/>
      <c r="G25" t="n">
        <v>24</v>
      </c>
      <c r="H25" s="3" t="n"/>
      <c r="J25" t="n">
        <v>24</v>
      </c>
      <c r="K25" s="3" t="n"/>
      <c r="M25" t="n">
        <v>24</v>
      </c>
      <c r="N25" s="3" t="n"/>
      <c r="P25" t="n">
        <v>24</v>
      </c>
      <c r="Q25" s="3" t="n"/>
      <c r="S25" t="n">
        <v>24</v>
      </c>
      <c r="T25" s="3" t="n"/>
      <c r="V25" t="n">
        <v>24</v>
      </c>
      <c r="W25" s="3" t="n"/>
      <c r="Y25" t="n">
        <v>24</v>
      </c>
      <c r="Z25" s="3" t="n"/>
      <c r="AB25" t="n">
        <v>24</v>
      </c>
      <c r="AC25" s="3" t="n"/>
      <c r="AE25" t="n">
        <v>24</v>
      </c>
      <c r="AF25" s="3" t="n"/>
      <c r="AH25" t="n">
        <v>24</v>
      </c>
      <c r="AI25" s="3" t="n"/>
    </row>
    <row r="26">
      <c r="A26" t="n">
        <v>25</v>
      </c>
      <c r="D26" t="n">
        <v>25</v>
      </c>
      <c r="E26" s="3" t="n"/>
      <c r="G26" t="n">
        <v>25</v>
      </c>
      <c r="H26" s="3" t="n"/>
      <c r="J26" t="n">
        <v>25</v>
      </c>
      <c r="K26" s="3" t="n"/>
      <c r="M26" t="n">
        <v>25</v>
      </c>
      <c r="N26" s="3" t="n"/>
      <c r="P26" t="n">
        <v>25</v>
      </c>
      <c r="Q26" s="3" t="n"/>
      <c r="S26" t="n">
        <v>25</v>
      </c>
      <c r="T26" s="3" t="n"/>
      <c r="V26" t="n">
        <v>25</v>
      </c>
      <c r="W26" s="3" t="n"/>
      <c r="Y26" t="n">
        <v>25</v>
      </c>
      <c r="Z26" s="3" t="n"/>
      <c r="AB26" t="n">
        <v>25</v>
      </c>
      <c r="AC26" s="3" t="n"/>
      <c r="AE26" t="n">
        <v>25</v>
      </c>
      <c r="AF26" s="3" t="n"/>
      <c r="AH26" t="n">
        <v>25</v>
      </c>
      <c r="AI26" s="3" t="n"/>
    </row>
    <row r="27">
      <c r="A27" t="n">
        <v>26</v>
      </c>
      <c r="D27" t="n">
        <v>26</v>
      </c>
      <c r="E27" s="3" t="n"/>
      <c r="G27" t="n">
        <v>26</v>
      </c>
      <c r="H27" s="3" t="n"/>
      <c r="J27" t="n">
        <v>26</v>
      </c>
      <c r="K27" s="3" t="n"/>
      <c r="M27" t="n">
        <v>26</v>
      </c>
      <c r="N27" s="3" t="n"/>
      <c r="P27" t="n">
        <v>26</v>
      </c>
      <c r="Q27" s="3" t="n"/>
      <c r="S27" t="n">
        <v>26</v>
      </c>
      <c r="T27" s="3" t="n"/>
      <c r="V27" t="n">
        <v>26</v>
      </c>
      <c r="W27" s="3" t="n"/>
      <c r="Y27" t="n">
        <v>26</v>
      </c>
      <c r="Z27" s="3" t="n"/>
      <c r="AB27" t="n">
        <v>26</v>
      </c>
      <c r="AC27" s="3" t="n"/>
      <c r="AE27" t="n">
        <v>26</v>
      </c>
      <c r="AF27" s="3" t="n"/>
      <c r="AH27" t="n">
        <v>26</v>
      </c>
      <c r="AI27" s="3" t="n"/>
    </row>
    <row r="28">
      <c r="A28" t="n">
        <v>27</v>
      </c>
      <c r="D28" t="n">
        <v>27</v>
      </c>
      <c r="E28" s="3" t="n"/>
      <c r="G28" t="n">
        <v>27</v>
      </c>
      <c r="H28" s="3" t="n"/>
      <c r="J28" t="n">
        <v>27</v>
      </c>
      <c r="K28" s="3" t="n"/>
      <c r="M28" t="n">
        <v>27</v>
      </c>
      <c r="N28" s="3" t="n"/>
      <c r="P28" t="n">
        <v>27</v>
      </c>
      <c r="Q28" s="3" t="n"/>
      <c r="S28" t="n">
        <v>27</v>
      </c>
      <c r="T28" s="3" t="n"/>
      <c r="V28" t="n">
        <v>27</v>
      </c>
      <c r="W28" s="3" t="n"/>
      <c r="Y28" t="n">
        <v>27</v>
      </c>
      <c r="Z28" s="3" t="n"/>
      <c r="AB28" t="n">
        <v>27</v>
      </c>
      <c r="AC28" s="3" t="n"/>
      <c r="AE28" t="n">
        <v>27</v>
      </c>
      <c r="AF28" s="3" t="n"/>
      <c r="AH28" t="n">
        <v>27</v>
      </c>
      <c r="AI28" s="3" t="n"/>
    </row>
    <row r="29">
      <c r="A29" t="n">
        <v>28</v>
      </c>
      <c r="D29" t="n">
        <v>28</v>
      </c>
      <c r="E29" s="3" t="n"/>
      <c r="G29" t="n">
        <v>28</v>
      </c>
      <c r="H29" s="3" t="n"/>
      <c r="J29" t="n">
        <v>28</v>
      </c>
      <c r="K29" s="3" t="n"/>
      <c r="M29" t="n">
        <v>28</v>
      </c>
      <c r="N29" s="3" t="n"/>
      <c r="P29" t="n">
        <v>28</v>
      </c>
      <c r="Q29" s="3" t="n"/>
      <c r="S29" t="n">
        <v>28</v>
      </c>
      <c r="T29" s="3" t="n"/>
      <c r="V29" t="n">
        <v>28</v>
      </c>
      <c r="W29" s="3" t="n"/>
      <c r="Y29" t="n">
        <v>28</v>
      </c>
      <c r="Z29" s="3" t="n"/>
      <c r="AB29" t="n">
        <v>28</v>
      </c>
      <c r="AC29" s="3" t="n"/>
      <c r="AE29" t="n">
        <v>28</v>
      </c>
      <c r="AF29" s="3" t="n"/>
      <c r="AH29" t="n">
        <v>28</v>
      </c>
      <c r="AI29" s="3" t="n"/>
    </row>
    <row r="30">
      <c r="A30" t="n">
        <v>29</v>
      </c>
      <c r="D30" t="n">
        <v>29</v>
      </c>
      <c r="E30" s="3" t="n"/>
      <c r="G30" t="n">
        <v>29</v>
      </c>
      <c r="H30" s="3" t="n"/>
      <c r="J30" t="n">
        <v>29</v>
      </c>
      <c r="K30" s="3" t="n"/>
      <c r="M30" t="n">
        <v>29</v>
      </c>
      <c r="N30" s="3" t="n"/>
      <c r="P30" t="n">
        <v>29</v>
      </c>
      <c r="Q30" s="3" t="n"/>
      <c r="S30" t="n">
        <v>29</v>
      </c>
      <c r="T30" s="3" t="n"/>
      <c r="V30" t="n">
        <v>29</v>
      </c>
      <c r="W30" s="3" t="n"/>
      <c r="Y30" t="n">
        <v>29</v>
      </c>
      <c r="Z30" s="3" t="n"/>
      <c r="AB30" t="n">
        <v>29</v>
      </c>
      <c r="AC30" s="3" t="n"/>
      <c r="AE30" t="n">
        <v>29</v>
      </c>
      <c r="AF30" s="3" t="n"/>
      <c r="AH30" t="n">
        <v>29</v>
      </c>
      <c r="AI30" s="3" t="n"/>
    </row>
    <row r="31">
      <c r="A31" t="n">
        <v>30</v>
      </c>
      <c r="D31" t="n">
        <v>30</v>
      </c>
      <c r="E31" s="3" t="n"/>
      <c r="G31" t="n">
        <v>30</v>
      </c>
      <c r="H31" s="3" t="n"/>
      <c r="J31" t="n">
        <v>30</v>
      </c>
      <c r="K31" s="3" t="n"/>
      <c r="M31" t="n">
        <v>30</v>
      </c>
      <c r="N31" s="3" t="n"/>
      <c r="P31" t="n">
        <v>30</v>
      </c>
      <c r="S31" t="n">
        <v>30</v>
      </c>
      <c r="V31" t="n">
        <v>30</v>
      </c>
      <c r="Y31" t="n">
        <v>30</v>
      </c>
      <c r="AB31" t="n">
        <v>30</v>
      </c>
      <c r="AC31" s="3" t="n"/>
      <c r="AE31" t="n">
        <v>30</v>
      </c>
      <c r="AF31" s="3" t="n"/>
      <c r="AH31" t="n">
        <v>30</v>
      </c>
      <c r="AI31" s="3" t="n"/>
    </row>
    <row r="32">
      <c r="A32" t="n">
        <v>31</v>
      </c>
      <c r="D32" t="n">
        <v>31</v>
      </c>
      <c r="E32" s="3" t="n"/>
      <c r="G32" t="n">
        <v>31</v>
      </c>
      <c r="H32" s="3" t="n"/>
      <c r="J32" t="n">
        <v>31</v>
      </c>
      <c r="K32" s="3" t="n"/>
      <c r="M32" t="n">
        <v>31</v>
      </c>
      <c r="N32" s="3" t="n"/>
      <c r="P32" t="n">
        <v>31</v>
      </c>
      <c r="S32" t="n">
        <v>31</v>
      </c>
      <c r="V32" t="n">
        <v>31</v>
      </c>
      <c r="Y32" t="n">
        <v>31</v>
      </c>
      <c r="AB32" t="n">
        <v>31</v>
      </c>
      <c r="AC32" s="3" t="n"/>
      <c r="AE32" t="n">
        <v>31</v>
      </c>
      <c r="AF32" s="3" t="n"/>
      <c r="AH32" t="n">
        <v>31</v>
      </c>
      <c r="AI32" s="3" t="n"/>
    </row>
    <row r="33">
      <c r="E33" s="3" t="n"/>
      <c r="H33" s="3" t="n"/>
    </row>
    <row r="34">
      <c r="E34" s="3" t="n"/>
      <c r="H34" s="3" t="n"/>
    </row>
    <row r="35">
      <c r="A35" t="inlineStr">
        <is>
          <t>Total</t>
        </is>
      </c>
      <c r="E35" s="3">
        <f>SUM(E2:E27)</f>
        <v/>
      </c>
      <c r="H35" s="3">
        <f>SUM(H2:H34)</f>
        <v/>
      </c>
      <c r="K35" s="3">
        <f>SUM(K2:K34)</f>
        <v/>
      </c>
      <c r="N35" s="3">
        <f>SUM(N2:N34)</f>
        <v/>
      </c>
      <c r="Q35" s="3">
        <f>SUM(Q2:Q34)</f>
        <v/>
      </c>
      <c r="T35" s="3">
        <f>SUM(T2:T34)</f>
        <v/>
      </c>
      <c r="W35" s="3">
        <f>SUM(W2:W34)</f>
        <v/>
      </c>
      <c r="Z35" s="3">
        <f>SUM(Z2:Z34)</f>
        <v/>
      </c>
      <c r="AC35" s="3">
        <f>SUM(AC2:AC34)</f>
        <v/>
      </c>
      <c r="AF35" s="3">
        <f>SUM(AF2:AF34)</f>
        <v/>
      </c>
      <c r="AI35" s="3">
        <f>SUM(AI2:AI34)</f>
        <v/>
      </c>
    </row>
  </sheetData>
  <mergeCells count="3">
    <mergeCell ref="D1:E1"/>
    <mergeCell ref="G1:H1"/>
    <mergeCell ref="A1:B1"/>
  </mergeCells>
  <conditionalFormatting sqref="B2:B32">
    <cfRule type="cellIs" priority="43" operator="lessThan" dxfId="1">
      <formula>0</formula>
    </cfRule>
    <cfRule type="cellIs" priority="44" operator="greaterThan" dxfId="0">
      <formula>0</formula>
    </cfRule>
  </conditionalFormatting>
  <conditionalFormatting sqref="B35">
    <cfRule type="cellIs" priority="42" operator="greaterThan" dxfId="0">
      <formula>0</formula>
    </cfRule>
    <cfRule type="cellIs" priority="41" operator="lessThan" dxfId="1">
      <formula>0</formula>
    </cfRule>
  </conditionalFormatting>
  <conditionalFormatting sqref="E2:E35">
    <cfRule type="cellIs" priority="39" operator="lessThan" dxfId="1">
      <formula>0</formula>
    </cfRule>
    <cfRule type="cellIs" priority="40" operator="greaterThan" dxfId="0">
      <formula>0</formula>
    </cfRule>
  </conditionalFormatting>
  <conditionalFormatting sqref="H2:H35">
    <cfRule type="cellIs" priority="34" operator="greaterThan" dxfId="0">
      <formula>0</formula>
    </cfRule>
    <cfRule type="cellIs" priority="33" operator="lessThan" dxfId="1">
      <formula>0</formula>
    </cfRule>
  </conditionalFormatting>
  <conditionalFormatting sqref="K2:K32">
    <cfRule type="cellIs" priority="38" operator="greaterThan" dxfId="0">
      <formula>0</formula>
    </cfRule>
    <cfRule type="cellIs" priority="37" operator="lessThan" dxfId="1">
      <formula>0</formula>
    </cfRule>
  </conditionalFormatting>
  <conditionalFormatting sqref="K35">
    <cfRule type="cellIs" priority="36" operator="greaterThan" dxfId="0">
      <formula>0</formula>
    </cfRule>
    <cfRule type="cellIs" priority="35" operator="lessThan" dxfId="1">
      <formula>0</formula>
    </cfRule>
  </conditionalFormatting>
  <conditionalFormatting sqref="N2:N32">
    <cfRule type="cellIs" priority="32" operator="greaterThan" dxfId="0">
      <formula>0</formula>
    </cfRule>
    <cfRule type="cellIs" priority="31" operator="lessThan" dxfId="1">
      <formula>0</formula>
    </cfRule>
  </conditionalFormatting>
  <conditionalFormatting sqref="N35">
    <cfRule type="cellIs" priority="30" operator="greaterThan" dxfId="0">
      <formula>0</formula>
    </cfRule>
    <cfRule type="cellIs" priority="29" operator="lessThan" dxfId="1">
      <formula>0</formula>
    </cfRule>
  </conditionalFormatting>
  <conditionalFormatting sqref="Q2:Q30">
    <cfRule type="cellIs" priority="28" operator="greaterThan" dxfId="0">
      <formula>0</formula>
    </cfRule>
    <cfRule type="cellIs" priority="27" operator="lessThan" dxfId="1">
      <formula>0</formula>
    </cfRule>
  </conditionalFormatting>
  <conditionalFormatting sqref="Q35">
    <cfRule type="cellIs" priority="26" operator="greaterThan" dxfId="0">
      <formula>0</formula>
    </cfRule>
    <cfRule type="cellIs" priority="25" operator="lessThan" dxfId="1">
      <formula>0</formula>
    </cfRule>
  </conditionalFormatting>
  <conditionalFormatting sqref="T2:T30">
    <cfRule type="cellIs" priority="23" operator="lessThan" dxfId="1">
      <formula>0</formula>
    </cfRule>
    <cfRule type="cellIs" priority="24" operator="greaterThan" dxfId="0">
      <formula>0</formula>
    </cfRule>
  </conditionalFormatting>
  <conditionalFormatting sqref="T35">
    <cfRule type="cellIs" priority="22" operator="greaterThan" dxfId="0">
      <formula>0</formula>
    </cfRule>
    <cfRule type="cellIs" priority="21" operator="lessThan" dxfId="1">
      <formula>0</formula>
    </cfRule>
  </conditionalFormatting>
  <conditionalFormatting sqref="W2:W30">
    <cfRule type="cellIs" priority="20" operator="greaterThan" dxfId="0">
      <formula>0</formula>
    </cfRule>
    <cfRule type="cellIs" priority="19" operator="lessThan" dxfId="1">
      <formula>0</formula>
    </cfRule>
  </conditionalFormatting>
  <conditionalFormatting sqref="W35">
    <cfRule type="cellIs" priority="18" operator="greaterThan" dxfId="0">
      <formula>0</formula>
    </cfRule>
    <cfRule type="cellIs" priority="17" operator="lessThan" dxfId="1">
      <formula>0</formula>
    </cfRule>
  </conditionalFormatting>
  <conditionalFormatting sqref="Z2:Z30">
    <cfRule type="cellIs" priority="16" operator="greaterThan" dxfId="0">
      <formula>0</formula>
    </cfRule>
    <cfRule type="cellIs" priority="15" operator="lessThan" dxfId="1">
      <formula>0</formula>
    </cfRule>
  </conditionalFormatting>
  <conditionalFormatting sqref="Z35">
    <cfRule type="cellIs" priority="14" operator="greaterThan" dxfId="0">
      <formula>0</formula>
    </cfRule>
    <cfRule type="cellIs" priority="13" operator="lessThan" dxfId="1">
      <formula>0</formula>
    </cfRule>
  </conditionalFormatting>
  <conditionalFormatting sqref="AC2:AC32">
    <cfRule type="cellIs" priority="11" operator="lessThan" dxfId="1">
      <formula>0</formula>
    </cfRule>
    <cfRule type="cellIs" priority="12" operator="greaterThan" dxfId="0">
      <formula>0</formula>
    </cfRule>
  </conditionalFormatting>
  <conditionalFormatting sqref="AC35">
    <cfRule type="cellIs" priority="10" operator="greaterThan" dxfId="0">
      <formula>0</formula>
    </cfRule>
    <cfRule type="cellIs" priority="9" operator="lessThan" dxfId="1">
      <formula>0</formula>
    </cfRule>
  </conditionalFormatting>
  <conditionalFormatting sqref="AF2:AF32">
    <cfRule type="cellIs" priority="8" operator="greaterThan" dxfId="0">
      <formula>0</formula>
    </cfRule>
    <cfRule type="cellIs" priority="7" operator="lessThan" dxfId="1">
      <formula>0</formula>
    </cfRule>
  </conditionalFormatting>
  <conditionalFormatting sqref="AF35">
    <cfRule type="cellIs" priority="6" operator="greaterThan" dxfId="0">
      <formula>0</formula>
    </cfRule>
    <cfRule type="cellIs" priority="5" operator="lessThan" dxfId="1">
      <formula>0</formula>
    </cfRule>
  </conditionalFormatting>
  <conditionalFormatting sqref="AI2:AI32">
    <cfRule type="cellIs" priority="4" operator="greaterThan" dxfId="0">
      <formula>0</formula>
    </cfRule>
    <cfRule type="cellIs" priority="3" operator="lessThan" dxfId="1">
      <formula>0</formula>
    </cfRule>
  </conditionalFormatting>
  <conditionalFormatting sqref="AI35">
    <cfRule type="cellIs" priority="2" operator="greaterThan" dxfId="0">
      <formula>0</formula>
    </cfRule>
    <cfRule type="cellIs" priority="1" operator="lessThan" dxfId="1">
      <formula>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5">
    <outlinePr summaryBelow="1" summaryRight="1"/>
    <pageSetUpPr/>
  </sheetPr>
  <dimension ref="A1:AL35"/>
  <sheetViews>
    <sheetView tabSelected="1" workbookViewId="0">
      <selection activeCell="B35" sqref="B35:K35"/>
    </sheetView>
  </sheetViews>
  <sheetFormatPr baseColWidth="8" defaultRowHeight="15"/>
  <cols>
    <col width="18.42578125" customWidth="1" min="1" max="1"/>
    <col width="15.42578125" customWidth="1" style="3" min="2" max="2"/>
    <col width="11.5703125" customWidth="1" min="4" max="4"/>
    <col width="12.5703125" customWidth="1" min="5" max="5"/>
    <col width="10.140625" bestFit="1" customWidth="1" min="6" max="6"/>
    <col width="10.42578125" bestFit="1" customWidth="1" min="7" max="7"/>
    <col width="10.85546875" bestFit="1" customWidth="1" min="8" max="8"/>
    <col width="9.85546875" bestFit="1" customWidth="1" min="9" max="9"/>
    <col width="10.42578125" bestFit="1" customWidth="1" min="10" max="10"/>
    <col width="9.85546875" bestFit="1" customWidth="1" min="11" max="12"/>
    <col width="10.42578125" bestFit="1" customWidth="1" min="13" max="13"/>
    <col width="10.85546875" bestFit="1" customWidth="1" min="14" max="14"/>
    <col width="11.140625" bestFit="1" customWidth="1" min="15" max="15"/>
    <col width="10.42578125" bestFit="1" customWidth="1" min="16" max="16"/>
    <col width="10.85546875" bestFit="1" customWidth="1" min="17" max="17"/>
    <col width="10.42578125" bestFit="1" customWidth="1" min="19" max="19"/>
    <col width="10.85546875" bestFit="1" customWidth="1" min="20" max="20"/>
    <col width="10.42578125" bestFit="1" customWidth="1" min="22" max="22"/>
    <col width="10.85546875" bestFit="1" customWidth="1" min="23" max="23"/>
    <col width="10.42578125" bestFit="1" customWidth="1" min="25" max="25"/>
    <col width="12.140625" customWidth="1" min="26" max="26"/>
    <col width="10.42578125" bestFit="1" customWidth="1" min="28" max="28"/>
    <col width="10.85546875" bestFit="1" customWidth="1" min="29" max="29"/>
    <col width="10.7109375" bestFit="1" customWidth="1" min="31" max="31"/>
    <col width="10.85546875" bestFit="1" customWidth="1" min="32" max="32"/>
    <col width="10.7109375" bestFit="1" customWidth="1" min="33" max="34"/>
    <col width="11.140625" bestFit="1" customWidth="1" min="35" max="35"/>
    <col width="9.85546875" bestFit="1" customWidth="1" min="36" max="36"/>
  </cols>
  <sheetData>
    <row r="1" customFormat="1" s="2">
      <c r="A1" s="9" t="inlineStr">
        <is>
          <t>January</t>
        </is>
      </c>
      <c r="D1" s="9" t="inlineStr">
        <is>
          <t>February</t>
        </is>
      </c>
      <c r="F1" s="4" t="inlineStr">
        <is>
          <t>/ES</t>
        </is>
      </c>
      <c r="G1" s="9" t="inlineStr">
        <is>
          <t>Mar</t>
        </is>
      </c>
      <c r="I1" s="4" t="inlineStr">
        <is>
          <t>/ES</t>
        </is>
      </c>
      <c r="J1" s="9" t="inlineStr">
        <is>
          <t>Apr</t>
        </is>
      </c>
      <c r="L1" s="2" t="inlineStr">
        <is>
          <t>/ES</t>
        </is>
      </c>
      <c r="M1" s="2" t="inlineStr">
        <is>
          <t>May</t>
        </is>
      </c>
      <c r="P1" s="2" t="inlineStr">
        <is>
          <t>Jun</t>
        </is>
      </c>
      <c r="S1" s="2" t="inlineStr">
        <is>
          <t>Jul</t>
        </is>
      </c>
      <c r="V1" s="2" t="inlineStr">
        <is>
          <t>Aug</t>
        </is>
      </c>
      <c r="Y1" s="2" t="inlineStr">
        <is>
          <t>Sep</t>
        </is>
      </c>
      <c r="AB1" s="2" t="inlineStr">
        <is>
          <t>Oct</t>
        </is>
      </c>
      <c r="AE1" s="2" t="inlineStr">
        <is>
          <t>Nov</t>
        </is>
      </c>
      <c r="AH1" s="2" t="inlineStr">
        <is>
          <t>Dec</t>
        </is>
      </c>
    </row>
    <row r="2">
      <c r="A2" s="1" t="n">
        <v>46023</v>
      </c>
      <c r="D2" s="1" t="n">
        <v>45689</v>
      </c>
      <c r="E2" s="3" t="n"/>
      <c r="G2" s="1" t="n">
        <v>45717</v>
      </c>
      <c r="H2" s="3" t="n"/>
      <c r="J2" s="1" t="n">
        <v>45748</v>
      </c>
      <c r="K2" s="3" t="n"/>
      <c r="M2" s="1" t="n">
        <v>45778</v>
      </c>
      <c r="N2" s="3" t="n"/>
      <c r="P2" s="1" t="n">
        <v>45810</v>
      </c>
      <c r="Q2" s="3" t="n"/>
      <c r="S2" s="1" t="n">
        <v>45839</v>
      </c>
      <c r="T2" s="3" t="n"/>
      <c r="V2" s="1" t="n">
        <v>38565</v>
      </c>
      <c r="W2" s="3" t="n"/>
      <c r="Y2" s="1" t="n">
        <v>38596</v>
      </c>
      <c r="Z2" s="3" t="n"/>
      <c r="AB2" s="1" t="n">
        <v>38626</v>
      </c>
      <c r="AC2" s="3" t="n"/>
      <c r="AE2" s="1" t="n">
        <v>38657</v>
      </c>
      <c r="AF2" s="3" t="n"/>
      <c r="AH2" s="1" t="n">
        <v>45992</v>
      </c>
      <c r="AI2" s="3" t="n"/>
    </row>
    <row r="3">
      <c r="A3" s="1" t="n">
        <v>46024</v>
      </c>
      <c r="B3" s="3">
        <f>'All BICs'!B3+'Price Action IC'!B3+Verticals!B3+'Auto JSP'!B3+'MOC IC'!B3+WUGA!B3+'MT BF'!B3+Umbrella!B3+'PM Umbrella'!B3+FOMC!B3+'Vol Crush'!B3+'FOMC Meeting'!B3+LDOM!B3</f>
        <v/>
      </c>
      <c r="C3" s="3" t="n"/>
      <c r="D3" s="1" t="n">
        <v>45690</v>
      </c>
      <c r="E3" s="3">
        <f>'All BICs'!E3+'Price Action IC'!E3+Verticals!E3+'Auto JSP'!E3+'MOC IC'!E3+WUGA!E3+'MT BF'!E3+Umbrella!E3+'PM Umbrella'!E3+FOMC!E3+'Vol Crush'!E3+'FOMC Meeting'!E3+LDOM!E3</f>
        <v/>
      </c>
      <c r="G3" s="1" t="n">
        <v>45718</v>
      </c>
      <c r="H3" s="3">
        <f>'All BICs'!H3+'Price Action IC'!H3+Verticals!H3+'Auto JSP'!H3+'Wed Thu RIC'!H3+Lottery!H3+'MOC IC'!H3+WUGA!H3+'MT BF'!H3+Umbrella!H3+'PM Umbrella'!H3+'Vol Crush'!H3+'Lunch Vol C Umb'!H3+LDOM!H3</f>
        <v/>
      </c>
      <c r="I3" s="3" t="n"/>
      <c r="J3" s="1" t="n">
        <v>45749</v>
      </c>
      <c r="K3" s="3" t="n"/>
      <c r="M3" s="1" t="n">
        <v>45779</v>
      </c>
      <c r="N3" s="3" t="n"/>
      <c r="P3" s="1" t="n">
        <v>45811</v>
      </c>
      <c r="Q3" s="3" t="n"/>
      <c r="S3" s="1" t="n">
        <v>45840</v>
      </c>
      <c r="T3" s="3" t="n"/>
      <c r="V3" s="1" t="n">
        <v>38566</v>
      </c>
      <c r="W3" s="3" t="n"/>
      <c r="Y3" s="1" t="n">
        <v>38597</v>
      </c>
      <c r="Z3" s="3" t="n"/>
      <c r="AB3" s="1" t="n">
        <v>38627</v>
      </c>
      <c r="AC3" s="3" t="n"/>
      <c r="AE3" s="1" t="n">
        <v>38658</v>
      </c>
      <c r="AF3" s="3" t="n"/>
      <c r="AH3" s="1" t="n">
        <v>45993</v>
      </c>
      <c r="AI3" s="3" t="n"/>
    </row>
    <row r="4">
      <c r="A4" s="1" t="n">
        <v>46025</v>
      </c>
      <c r="D4" s="1" t="n">
        <v>45691</v>
      </c>
      <c r="E4" s="3">
        <f>'All BICs'!E4+'Price Action IC'!E4+Verticals!E4+'Auto JSP'!E4+'MOC IC'!E4+WUGA!E4+'MT BF'!E4+Umbrella!E4+'PM Umbrella'!E4+FOMC!E4+'Vol Crush'!E4+'FOMC Meeting'!E4+LDOM!E4</f>
        <v/>
      </c>
      <c r="G4" s="1" t="n">
        <v>45719</v>
      </c>
      <c r="H4" s="3">
        <f>'All BICs'!H4+'Price Action IC'!H4+Verticals!H4+'Auto JSP'!H4+'Wed Thu RIC'!H4+Lottery!H4+'MOC IC'!H4+WUGA!H4+'MT BF'!H4+Umbrella!H4+'PM Umbrella'!H4+'Vol Crush'!H4+'Lunch Vol C Umb'!H4+LDOM!H4</f>
        <v/>
      </c>
      <c r="J4" s="1" t="n">
        <v>45750</v>
      </c>
      <c r="K4" s="3" t="n"/>
      <c r="M4" s="1" t="n">
        <v>45780</v>
      </c>
      <c r="N4" s="3" t="n"/>
      <c r="P4" s="1" t="n">
        <v>45812</v>
      </c>
      <c r="Q4" s="3" t="n"/>
      <c r="S4" s="1" t="n">
        <v>45841</v>
      </c>
      <c r="T4" s="3" t="n"/>
      <c r="V4" s="1" t="n">
        <v>38567</v>
      </c>
      <c r="W4" s="3" t="n"/>
      <c r="Y4" s="1" t="n">
        <v>38598</v>
      </c>
      <c r="Z4" s="3" t="n"/>
      <c r="AB4" s="1" t="n">
        <v>38628</v>
      </c>
      <c r="AC4" s="3" t="n"/>
      <c r="AE4" s="1" t="n">
        <v>38659</v>
      </c>
      <c r="AF4" s="3" t="n"/>
      <c r="AH4" s="1" t="n">
        <v>45994</v>
      </c>
      <c r="AI4" s="3" t="n"/>
      <c r="AJ4" s="3" t="n"/>
    </row>
    <row r="5">
      <c r="A5" s="1" t="n">
        <v>46026</v>
      </c>
      <c r="D5" s="1" t="n">
        <v>45692</v>
      </c>
      <c r="E5" s="3">
        <f>'All BICs'!E5+'Price Action IC'!E5+Verticals!E5+'Auto JSP'!E5+'MOC IC'!E5+WUGA!E5+'MT BF'!E5+Umbrella!E5+'PM Umbrella'!E5+FOMC!E5+'Vol Crush'!E5+'FOMC Meeting'!E5+LDOM!E5</f>
        <v/>
      </c>
      <c r="G5" s="1" t="n">
        <v>45720</v>
      </c>
      <c r="H5" s="3">
        <f>'All BICs'!H5+'Price Action IC'!H5+Verticals!H5+'Auto JSP'!H5+'Wed Thu RIC'!H5+Lottery!H5+'MOC IC'!H5+WUGA!H5+'MT BF'!H5+Umbrella!H5+'PM Umbrella'!H5+'Vol Crush'!H5+'Lunch Vol C Umb'!H5+LDOM!H5</f>
        <v/>
      </c>
      <c r="J5" s="1" t="n">
        <v>45751</v>
      </c>
      <c r="K5" s="3" t="n"/>
      <c r="M5" s="1" t="n">
        <v>45781</v>
      </c>
      <c r="N5" s="3" t="n"/>
      <c r="P5" s="1" t="n">
        <v>45813</v>
      </c>
      <c r="Q5" s="3" t="n"/>
      <c r="S5" s="1" t="n">
        <v>45842</v>
      </c>
      <c r="T5" s="3" t="n"/>
      <c r="V5" s="1" t="n">
        <v>38568</v>
      </c>
      <c r="W5" s="3" t="n"/>
      <c r="Y5" s="1" t="n">
        <v>38599</v>
      </c>
      <c r="Z5" s="3" t="n"/>
      <c r="AB5" s="1" t="n">
        <v>38629</v>
      </c>
      <c r="AC5" s="3" t="n"/>
      <c r="AE5" s="1" t="n">
        <v>38660</v>
      </c>
      <c r="AF5" s="3" t="n"/>
      <c r="AH5" s="1" t="n">
        <v>45995</v>
      </c>
      <c r="AI5" s="3" t="n"/>
    </row>
    <row r="6">
      <c r="A6" s="1" t="n">
        <v>46027</v>
      </c>
      <c r="B6" s="3">
        <f>'All BICs'!B6+'Price Action IC'!B6+Verticals!B6+'Auto JSP'!B6+'MOC IC'!B6+WUGA!B6+'MT BF'!B6+Umbrella!B6+'PM Umbrella'!B6+FOMC!B6+'Vol Crush'!B6+'FOMC Meeting'!B6+LDOM!B6</f>
        <v/>
      </c>
      <c r="D6" s="1" t="n">
        <v>45693</v>
      </c>
      <c r="E6" s="3">
        <f>'All BICs'!E6+'Price Action IC'!E6+Verticals!E6+'Auto JSP'!E6+'MOC IC'!E6+WUGA!E6+'MT BF'!E6+Umbrella!E6+'PM Umbrella'!E6+FOMC!E6+'Vol Crush'!E6+'FOMC Meeting'!E6+LDOM!E6</f>
        <v/>
      </c>
      <c r="G6" s="1" t="n">
        <v>45721</v>
      </c>
      <c r="H6" s="3">
        <f>'All BICs'!H6+'Price Action IC'!H6+Verticals!H6+'Auto JSP'!H6+'Wed Thu RIC'!H6+Lottery!H6+'MOC IC'!H6+WUGA!H6+'MT BF'!H6+Umbrella!H6+'PM Umbrella'!H6+'Vol Crush'!H6+'Lunch Vol C Umb'!H6+LDOM!H6</f>
        <v/>
      </c>
      <c r="J6" s="1" t="n">
        <v>45752</v>
      </c>
      <c r="K6" s="3" t="n"/>
      <c r="M6" s="1" t="n">
        <v>45782</v>
      </c>
      <c r="N6" s="3" t="n"/>
      <c r="P6" s="1" t="n">
        <v>45814</v>
      </c>
      <c r="Q6" s="3" t="n"/>
      <c r="S6" s="1" t="n">
        <v>45843</v>
      </c>
      <c r="T6" s="3" t="n"/>
      <c r="V6" s="1" t="n">
        <v>38569</v>
      </c>
      <c r="W6" s="3" t="n"/>
      <c r="Y6" s="1" t="n">
        <v>38600</v>
      </c>
      <c r="Z6" s="3" t="n"/>
      <c r="AB6" s="1" t="n">
        <v>38630</v>
      </c>
      <c r="AC6" s="3" t="n"/>
      <c r="AE6" s="1" t="n">
        <v>38661</v>
      </c>
      <c r="AF6" s="3" t="n"/>
      <c r="AH6" s="1" t="n">
        <v>45996</v>
      </c>
      <c r="AI6" s="3" t="n"/>
    </row>
    <row r="7">
      <c r="A7" s="1" t="n">
        <v>46028</v>
      </c>
      <c r="B7" s="3">
        <f>'All BICs'!B7+'Price Action IC'!B7+Verticals!B7+'Auto JSP'!B7+'MOC IC'!B7+WUGA!B7+'MT BF'!B7+Umbrella!B7+'PM Umbrella'!B7+FOMC!B7+'Vol Crush'!B7+'FOMC Meeting'!B7+LDOM!B7</f>
        <v/>
      </c>
      <c r="D7" s="1" t="n">
        <v>45694</v>
      </c>
      <c r="E7" s="3">
        <f>'All BICs'!E7+'Price Action IC'!E7+Verticals!E7+'Auto JSP'!E7+'MOC IC'!E7+WUGA!E7+'MT BF'!E7+Umbrella!E7+'PM Umbrella'!E7+FOMC!E7+'Vol Crush'!E7+'FOMC Meeting'!E7+LDOM!E7</f>
        <v/>
      </c>
      <c r="G7" s="1" t="n">
        <v>45722</v>
      </c>
      <c r="H7" s="3">
        <f>'All BICs'!H7+'Price Action IC'!H7+Verticals!H7+'Auto JSP'!H7+'Wed Thu RIC'!H7+Lottery!H7+'MOC IC'!H7+WUGA!H7+'MT BF'!H7+Umbrella!H7+'PM Umbrella'!H7+'Vol Crush'!H7+'Lunch Vol C Umb'!H7+LDOM!H7</f>
        <v/>
      </c>
      <c r="J7" s="1" t="n">
        <v>45753</v>
      </c>
      <c r="K7" s="3" t="n"/>
      <c r="M7" s="1" t="n">
        <v>45783</v>
      </c>
      <c r="N7" s="3" t="n"/>
      <c r="P7" s="1" t="n">
        <v>45815</v>
      </c>
      <c r="Q7" s="3" t="n"/>
      <c r="S7" s="1" t="n">
        <v>45844</v>
      </c>
      <c r="T7" s="3" t="n"/>
      <c r="V7" s="1" t="n">
        <v>38570</v>
      </c>
      <c r="W7" s="3" t="n"/>
      <c r="Y7" s="1" t="n">
        <v>38601</v>
      </c>
      <c r="Z7" s="3" t="n"/>
      <c r="AB7" s="1" t="n">
        <v>38631</v>
      </c>
      <c r="AC7" s="3" t="n"/>
      <c r="AE7" s="1" t="n">
        <v>38662</v>
      </c>
      <c r="AF7" s="3" t="n"/>
      <c r="AH7" s="1" t="n">
        <v>45997</v>
      </c>
      <c r="AI7" s="3" t="n"/>
    </row>
    <row r="8">
      <c r="A8" s="1" t="n">
        <v>46029</v>
      </c>
      <c r="B8" s="3">
        <f>'All BICs'!B8+'Price Action IC'!B8+Verticals!B8+'Auto JSP'!B8+'MOC IC'!B8+WUGA!B8+'MT BF'!B8+Umbrella!B8+'PM Umbrella'!B8+FOMC!B8+'Vol Crush'!B8+'FOMC Meeting'!B8+LDOM!B8</f>
        <v/>
      </c>
      <c r="D8" s="1" t="n">
        <v>45695</v>
      </c>
      <c r="E8" s="3" t="n"/>
      <c r="G8" s="1" t="n">
        <v>45723</v>
      </c>
      <c r="H8" s="3" t="n"/>
      <c r="J8" s="1" t="n">
        <v>45754</v>
      </c>
      <c r="K8" s="3" t="n"/>
      <c r="M8" s="1" t="n">
        <v>45784</v>
      </c>
      <c r="N8" s="3" t="n"/>
      <c r="O8" s="5" t="n"/>
      <c r="P8" s="1" t="n">
        <v>45816</v>
      </c>
      <c r="Q8" s="3" t="n"/>
      <c r="S8" s="1" t="n">
        <v>45845</v>
      </c>
      <c r="T8" s="3" t="n"/>
      <c r="V8" s="1" t="n">
        <v>38571</v>
      </c>
      <c r="W8" s="3" t="n"/>
      <c r="Y8" s="1" t="n">
        <v>38602</v>
      </c>
      <c r="Z8" s="3" t="n"/>
      <c r="AB8" s="1" t="n">
        <v>38632</v>
      </c>
      <c r="AC8" s="3" t="n"/>
      <c r="AE8" s="1" t="n">
        <v>38663</v>
      </c>
      <c r="AF8" s="3" t="n"/>
      <c r="AH8" s="1" t="n">
        <v>45998</v>
      </c>
      <c r="AI8" s="3" t="n"/>
    </row>
    <row r="9">
      <c r="A9" s="1" t="n">
        <v>46030</v>
      </c>
      <c r="B9" s="3">
        <f>'All BICs'!B9+'Price Action IC'!B9+Verticals!B9+'Auto JSP'!B9+'MOC IC'!B9+WUGA!B9+'MT BF'!B9+Umbrella!B9+'PM Umbrella'!B9+FOMC!B9+'Vol Crush'!B9+'FOMC Meeting'!B9+LDOM!B9</f>
        <v/>
      </c>
      <c r="D9" s="1" t="n">
        <v>45696</v>
      </c>
      <c r="E9" s="3" t="n"/>
      <c r="G9" s="1" t="n">
        <v>45724</v>
      </c>
      <c r="H9" s="3" t="n"/>
      <c r="J9" s="1" t="n">
        <v>45755</v>
      </c>
      <c r="K9" s="3" t="n"/>
      <c r="M9" s="1" t="n">
        <v>45785</v>
      </c>
      <c r="N9" s="3" t="n"/>
      <c r="O9" s="5" t="n"/>
      <c r="P9" s="1" t="n">
        <v>45817</v>
      </c>
      <c r="Q9" s="3" t="n"/>
      <c r="S9" s="1" t="n">
        <v>45846</v>
      </c>
      <c r="T9" s="3" t="n"/>
      <c r="V9" s="1" t="n">
        <v>38572</v>
      </c>
      <c r="W9" s="3" t="n"/>
      <c r="Y9" s="1" t="n">
        <v>38603</v>
      </c>
      <c r="Z9" s="3" t="n"/>
      <c r="AB9" s="1" t="n">
        <v>38633</v>
      </c>
      <c r="AC9" s="3" t="n"/>
      <c r="AE9" s="1" t="n">
        <v>38664</v>
      </c>
      <c r="AF9" s="3" t="n"/>
      <c r="AH9" s="1" t="n">
        <v>45999</v>
      </c>
      <c r="AI9" s="3" t="n"/>
    </row>
    <row r="10">
      <c r="A10" s="1" t="n">
        <v>46031</v>
      </c>
      <c r="B10" s="3">
        <f>'All BICs'!B10+'Price Action IC'!B10+Verticals!B10+'Auto JSP'!B10+'MOC IC'!B10+WUGA!B10+'MT BF'!B10+Umbrella!B10+'PM Umbrella'!B10+FOMC!B10+'Vol Crush'!B10+'FOMC Meeting'!B10+LDOM!B10</f>
        <v/>
      </c>
      <c r="D10" s="1" t="n">
        <v>45697</v>
      </c>
      <c r="E10" s="3">
        <f>'All BICs'!E10+'Price Action IC'!E10+Verticals!E10+'Auto JSP'!E10+'MOC IC'!E10+WUGA!E10+'MT BF'!E10+Umbrella!E10+'PM Umbrella'!E10+FOMC!E10+'Vol Crush'!E10+'FOMC Meeting'!E10+LDOM!E10</f>
        <v/>
      </c>
      <c r="G10" s="1" t="n">
        <v>45725</v>
      </c>
      <c r="H10" s="3">
        <f>'All BICs'!H10+'Price Action IC'!H10+Verticals!H10+'Auto JSP'!H10+'Wed Thu RIC'!H10+Lottery!H10+'MOC IC'!H10+WUGA!H10+'MT BF'!H10+Umbrella!H10+'PM Umbrella'!H10+'Vol Crush'!H10+'Lunch Vol C Umb'!H10+LDOM!H10</f>
        <v/>
      </c>
      <c r="J10" s="1" t="n">
        <v>45756</v>
      </c>
      <c r="K10" s="3" t="n"/>
      <c r="L10" s="3" t="n"/>
      <c r="M10" s="1" t="n">
        <v>45786</v>
      </c>
      <c r="N10" s="3" t="n"/>
      <c r="O10" s="5" t="n"/>
      <c r="P10" s="1" t="n">
        <v>45818</v>
      </c>
      <c r="Q10" s="3" t="n"/>
      <c r="S10" s="1" t="n">
        <v>45847</v>
      </c>
      <c r="T10" s="3" t="n"/>
      <c r="V10" s="1" t="n">
        <v>38573</v>
      </c>
      <c r="W10" s="3" t="n"/>
      <c r="Y10" s="1" t="n">
        <v>38604</v>
      </c>
      <c r="Z10" s="3" t="n"/>
      <c r="AB10" s="1" t="n">
        <v>38634</v>
      </c>
      <c r="AC10" s="3" t="n"/>
      <c r="AE10" s="1" t="n">
        <v>38665</v>
      </c>
      <c r="AF10" s="3" t="n"/>
      <c r="AH10" s="1" t="n">
        <v>46000</v>
      </c>
      <c r="AI10" s="3" t="n"/>
    </row>
    <row r="11">
      <c r="A11" s="1" t="n">
        <v>46032</v>
      </c>
      <c r="D11" s="1" t="n">
        <v>45698</v>
      </c>
      <c r="E11" s="3">
        <f>'All BICs'!E11+'Price Action IC'!E11+Verticals!E11+'Auto JSP'!E11+'MOC IC'!E11+WUGA!E11+'MT BF'!E11+Umbrella!E11+'PM Umbrella'!E11+FOMC!E11+'Vol Crush'!E11+'FOMC Meeting'!E11+LDOM!E11+'Lunch Vol C Umb'!E11</f>
        <v/>
      </c>
      <c r="G11" s="1" t="n">
        <v>45726</v>
      </c>
      <c r="H11" s="3">
        <f>'All BICs'!H11+'Price Action IC'!H11+Verticals!H11+'Auto JSP'!H11+'Wed Thu RIC'!H11+Lottery!H11+'MOC IC'!H11+WUGA!H11+'MT BF'!H11+Umbrella!H11+'PM Umbrella'!H11+'Vol Crush'!H11+'Lunch Vol C Umb'!H11+LDOM!H11</f>
        <v/>
      </c>
      <c r="J11" s="1" t="n">
        <v>45757</v>
      </c>
      <c r="K11" s="3" t="n"/>
      <c r="L11" s="3" t="n"/>
      <c r="M11" s="1" t="n">
        <v>45787</v>
      </c>
      <c r="N11" s="3" t="n"/>
      <c r="O11" s="5" t="n"/>
      <c r="P11" s="1" t="n">
        <v>45819</v>
      </c>
      <c r="Q11" s="3" t="n"/>
      <c r="S11" s="1" t="n">
        <v>45848</v>
      </c>
      <c r="T11" s="3" t="n"/>
      <c r="V11" s="1" t="n">
        <v>38574</v>
      </c>
      <c r="W11" s="3" t="n"/>
      <c r="Y11" s="1" t="n">
        <v>38605</v>
      </c>
      <c r="Z11" s="3" t="n"/>
      <c r="AB11" s="1" t="n">
        <v>38635</v>
      </c>
      <c r="AC11" s="3" t="n"/>
      <c r="AE11" s="1" t="n">
        <v>38666</v>
      </c>
      <c r="AF11" s="3" t="n"/>
      <c r="AH11" s="1" t="n">
        <v>46001</v>
      </c>
      <c r="AI11" s="3" t="n"/>
    </row>
    <row r="12">
      <c r="A12" s="1" t="n">
        <v>46033</v>
      </c>
      <c r="D12" s="1" t="n">
        <v>45699</v>
      </c>
      <c r="E12" s="3">
        <f>'All BICs'!E12+'Price Action IC'!E12+Verticals!E12+'Auto JSP'!E12+'MOC IC'!E12+WUGA!E12+'MT BF'!E12+Umbrella!E12+'PM Umbrella'!E12+FOMC!E12+'Vol Crush'!E12+'FOMC Meeting'!E12+LDOM!E12+'Lunch Vol C Umb'!E12</f>
        <v/>
      </c>
      <c r="G12" s="1" t="n">
        <v>45727</v>
      </c>
      <c r="H12" s="3">
        <f>'All BICs'!H12+'Price Action IC'!H12+Verticals!H12+'Auto JSP'!H12+'Wed Thu RIC'!H12+Lottery!H12+'MOC IC'!H12+WUGA!H12+'MT BF'!H12+Umbrella!H12+'PM Umbrella'!H12+'Vol Crush'!H12+'Lunch Vol C Umb'!H12+LDOM!H12</f>
        <v/>
      </c>
      <c r="J12" s="1" t="n">
        <v>45758</v>
      </c>
      <c r="K12" s="3" t="n"/>
      <c r="L12" s="3" t="n"/>
      <c r="M12" s="1" t="n">
        <v>45788</v>
      </c>
      <c r="N12" s="3" t="n"/>
      <c r="O12" s="5" t="n"/>
      <c r="P12" s="1" t="n">
        <v>45820</v>
      </c>
      <c r="Q12" s="3" t="n"/>
      <c r="S12" s="1" t="n">
        <v>45849</v>
      </c>
      <c r="T12" s="3" t="n"/>
      <c r="V12" s="1" t="n">
        <v>38575</v>
      </c>
      <c r="W12" s="3" t="n"/>
      <c r="Y12" s="1" t="n">
        <v>38606</v>
      </c>
      <c r="Z12" s="3" t="n"/>
      <c r="AB12" s="1" t="n">
        <v>38636</v>
      </c>
      <c r="AC12" s="3" t="n"/>
      <c r="AE12" s="1" t="n">
        <v>38667</v>
      </c>
      <c r="AF12" s="3" t="n"/>
      <c r="AH12" s="1" t="n">
        <v>46002</v>
      </c>
      <c r="AI12" s="3" t="n"/>
    </row>
    <row r="13">
      <c r="A13" s="1" t="n">
        <v>46034</v>
      </c>
      <c r="B13" s="3">
        <f>'All BICs'!B13+'Price Action IC'!B13+Verticals!B13+'Auto JSP'!B13+'MOC IC'!B13+WUGA!B13+'MT BF'!B13+Umbrella!B13+'PM Umbrella'!B13+FOMC!B13+'Vol Crush'!B13+'FOMC Meeting'!B13+LDOM!B13</f>
        <v/>
      </c>
      <c r="D13" s="1" t="n">
        <v>45700</v>
      </c>
      <c r="E13" s="3">
        <f>'All BICs'!E13+'Price Action IC'!E13+Verticals!E13+'Auto JSP'!E13+'MOC IC'!E13+WUGA!E13+'MT BF'!E13+Umbrella!E13+'PM Umbrella'!E13+FOMC!E13+'Vol Crush'!E13+'FOMC Meeting'!E13+LDOM!E13+'Lunch Vol C Umb'!E13+Lottery!E13</f>
        <v/>
      </c>
      <c r="G13" s="1" t="n">
        <v>45728</v>
      </c>
      <c r="H13" s="3">
        <f>'All BICs'!H13+'Price Action IC'!H13+Verticals!H13+'Auto JSP'!H13+'Wed Thu RIC'!H13+Lottery!H13+'MOC IC'!H13+WUGA!H13+'MT BF'!H13+Umbrella!H13+'PM Umbrella'!H13+'Vol Crush'!H13+'Lunch Vol C Umb'!H13+LDOM!H13</f>
        <v/>
      </c>
      <c r="J13" s="1" t="n">
        <v>45759</v>
      </c>
      <c r="K13" s="3" t="n"/>
      <c r="L13" s="3" t="n"/>
      <c r="M13" s="1" t="n">
        <v>45789</v>
      </c>
      <c r="N13" s="3" t="n"/>
      <c r="P13" s="1" t="n">
        <v>45821</v>
      </c>
      <c r="Q13" s="3" t="n"/>
      <c r="S13" s="1" t="n">
        <v>45850</v>
      </c>
      <c r="T13" s="3" t="n"/>
      <c r="V13" s="1" t="n">
        <v>38576</v>
      </c>
      <c r="W13" s="3" t="n"/>
      <c r="Y13" s="1" t="n">
        <v>38607</v>
      </c>
      <c r="Z13" s="3" t="n"/>
      <c r="AB13" s="1" t="n">
        <v>38637</v>
      </c>
      <c r="AC13" s="3" t="n"/>
      <c r="AE13" s="1" t="n">
        <v>38668</v>
      </c>
      <c r="AF13" s="3" t="n"/>
      <c r="AH13" s="1" t="n">
        <v>46003</v>
      </c>
      <c r="AI13" s="3" t="n"/>
    </row>
    <row r="14">
      <c r="A14" s="1" t="n">
        <v>46035</v>
      </c>
      <c r="B14" s="3">
        <f>'All BICs'!B14+'Price Action IC'!B14+Verticals!B14+'Auto JSP'!B14+'MOC IC'!B14+WUGA!B14+'MT BF'!B14+Umbrella!B14+'PM Umbrella'!B14+FOMC!B14+'Vol Crush'!B14+'FOMC Meeting'!B14+LDOM!B14</f>
        <v/>
      </c>
      <c r="D14" s="1" t="n">
        <v>45701</v>
      </c>
      <c r="E14" s="3">
        <f>'All BICs'!E14+'Price Action IC'!E14+Verticals!E14+'Auto JSP'!E14+'MOC IC'!E14+WUGA!E14+'MT BF'!E14+Umbrella!E14+'PM Umbrella'!E14+FOMC!E14+'Vol Crush'!E14+'FOMC Meeting'!E14+LDOM!E14+'Lunch Vol C Umb'!E14+Lottery!E14</f>
        <v/>
      </c>
      <c r="G14" s="1" t="n">
        <v>45729</v>
      </c>
      <c r="H14" s="3">
        <f>'All BICs'!H14+'Price Action IC'!H14+Verticals!H14+'Auto JSP'!H14+'Wed Thu RIC'!H14+Lottery!H14+'MOC IC'!H14+WUGA!H14+'MT BF'!H14+Umbrella!H14+'PM Umbrella'!H14+'Vol Crush'!H14+'Lunch Vol C Umb'!H14+LDOM!H14</f>
        <v/>
      </c>
      <c r="J14" s="1" t="n">
        <v>45760</v>
      </c>
      <c r="K14" s="3" t="n"/>
      <c r="L14" s="3" t="n"/>
      <c r="M14" s="1" t="n">
        <v>45790</v>
      </c>
      <c r="N14" s="3" t="n"/>
      <c r="P14" s="1" t="n">
        <v>45822</v>
      </c>
      <c r="Q14" s="3" t="n"/>
      <c r="S14" s="1" t="n">
        <v>45851</v>
      </c>
      <c r="T14" s="3" t="n"/>
      <c r="V14" s="1" t="n">
        <v>38577</v>
      </c>
      <c r="W14" s="3" t="n"/>
      <c r="Y14" s="1" t="n">
        <v>38608</v>
      </c>
      <c r="Z14" s="3" t="n"/>
      <c r="AB14" s="1" t="n">
        <v>38638</v>
      </c>
      <c r="AC14" s="3" t="n"/>
      <c r="AE14" s="1" t="n">
        <v>38669</v>
      </c>
      <c r="AF14" s="3" t="n"/>
      <c r="AH14" s="1" t="n">
        <v>46004</v>
      </c>
      <c r="AI14" s="3" t="n"/>
    </row>
    <row r="15">
      <c r="A15" s="1" t="n">
        <v>46036</v>
      </c>
      <c r="B15" s="3">
        <f>'All BICs'!B15+'Price Action IC'!B15+Verticals!B15+'Auto JSP'!B15+'MOC IC'!B15+WUGA!B15+'MT BF'!B15+Umbrella!B15+'PM Umbrella'!B15+FOMC!B15+'Vol Crush'!B15+'FOMC Meeting'!B15+LDOM!B15</f>
        <v/>
      </c>
      <c r="D15" s="1" t="n">
        <v>45702</v>
      </c>
      <c r="E15" s="3" t="n"/>
      <c r="G15" s="1" t="n">
        <v>45730</v>
      </c>
      <c r="H15" s="3" t="n"/>
      <c r="J15" s="1" t="n">
        <v>45761</v>
      </c>
      <c r="K15" s="3" t="n"/>
      <c r="L15" s="3" t="n"/>
      <c r="M15" s="1" t="n">
        <v>45791</v>
      </c>
      <c r="N15" s="3" t="n"/>
      <c r="P15" s="1" t="n">
        <v>45823</v>
      </c>
      <c r="Q15" s="3" t="n"/>
      <c r="S15" s="1" t="n">
        <v>45852</v>
      </c>
      <c r="T15" s="3" t="n"/>
      <c r="V15" s="1" t="n">
        <v>38578</v>
      </c>
      <c r="W15" s="3" t="n"/>
      <c r="Y15" s="1" t="n">
        <v>38609</v>
      </c>
      <c r="Z15" s="3" t="n"/>
      <c r="AB15" s="1" t="n">
        <v>38639</v>
      </c>
      <c r="AC15" s="3" t="n"/>
      <c r="AE15" s="1" t="n">
        <v>38670</v>
      </c>
      <c r="AF15" s="3" t="n"/>
      <c r="AH15" s="1" t="n">
        <v>46005</v>
      </c>
      <c r="AI15" s="3" t="n"/>
    </row>
    <row r="16">
      <c r="A16" s="1" t="n">
        <v>46037</v>
      </c>
      <c r="B16" s="3">
        <f>'All BICs'!B16+'Price Action IC'!B16+Verticals!B16+'Auto JSP'!B16+'MOC IC'!B16+WUGA!B16+'MT BF'!B16+Umbrella!B16+'PM Umbrella'!B16+FOMC!B16+'Vol Crush'!B16+'FOMC Meeting'!B16+LDOM!B16</f>
        <v/>
      </c>
      <c r="D16" s="1" t="n">
        <v>45703</v>
      </c>
      <c r="E16" s="3" t="n"/>
      <c r="G16" s="1" t="n">
        <v>45731</v>
      </c>
      <c r="H16" s="3" t="n"/>
      <c r="J16" s="1" t="n">
        <v>45762</v>
      </c>
      <c r="K16" s="3" t="n"/>
      <c r="L16" s="3" t="n"/>
      <c r="M16" s="1" t="n">
        <v>45792</v>
      </c>
      <c r="N16" s="3" t="n"/>
      <c r="P16" s="1" t="n">
        <v>45824</v>
      </c>
      <c r="Q16" s="3" t="n"/>
      <c r="S16" s="1" t="n">
        <v>45853</v>
      </c>
      <c r="T16" s="3" t="n"/>
      <c r="V16" s="1" t="n">
        <v>38579</v>
      </c>
      <c r="W16" s="3" t="n"/>
      <c r="Y16" s="1" t="n">
        <v>38610</v>
      </c>
      <c r="Z16" s="3" t="n"/>
      <c r="AB16" s="1" t="n">
        <v>38640</v>
      </c>
      <c r="AC16" s="3" t="n"/>
      <c r="AE16" s="1" t="n">
        <v>38671</v>
      </c>
      <c r="AF16" s="3" t="n"/>
      <c r="AH16" s="1" t="n">
        <v>46006</v>
      </c>
      <c r="AI16" s="3" t="n"/>
    </row>
    <row r="17">
      <c r="A17" s="1" t="n">
        <v>46038</v>
      </c>
      <c r="B17" s="3">
        <f>'All BICs'!B17+'Price Action IC'!B17+Verticals!B17+'Auto JSP'!B17+'MOC IC'!B17+WUGA!B17+'MT BF'!B17+Umbrella!B17+'PM Umbrella'!B17+FOMC!B17+'Vol Crush'!B17+'FOMC Meeting'!B17+LDOM!B17</f>
        <v/>
      </c>
      <c r="D17" s="1" t="n">
        <v>45704</v>
      </c>
      <c r="E17" s="3" t="n"/>
      <c r="G17" s="1" t="n">
        <v>45732</v>
      </c>
      <c r="H17" s="3">
        <f>'All BICs'!H17+'Price Action IC'!H17+Verticals!H17+'Auto JSP'!H17+'Wed Thu RIC'!H17+Lottery!H17+'MOC IC'!H17+WUGA!H17+'MT BF'!H17+Umbrella!H17+'PM Umbrella'!H17+'Vol Crush'!H17+'Lunch Vol C Umb'!H17+LDOM!H17</f>
        <v/>
      </c>
      <c r="J17" s="1" t="n">
        <v>45763</v>
      </c>
      <c r="K17" s="3" t="n"/>
      <c r="L17" s="3" t="n"/>
      <c r="M17" s="1" t="n">
        <v>45793</v>
      </c>
      <c r="N17" s="3" t="n"/>
      <c r="P17" s="1" t="n">
        <v>45825</v>
      </c>
      <c r="Q17" s="3" t="n"/>
      <c r="S17" s="1" t="n">
        <v>45854</v>
      </c>
      <c r="T17" s="3" t="n"/>
      <c r="V17" s="1" t="n">
        <v>38580</v>
      </c>
      <c r="W17" s="3" t="n"/>
      <c r="Y17" s="1" t="n">
        <v>38611</v>
      </c>
      <c r="Z17" s="3" t="n"/>
      <c r="AB17" s="1" t="n">
        <v>38641</v>
      </c>
      <c r="AC17" s="3" t="n"/>
      <c r="AE17" s="1" t="n">
        <v>38672</v>
      </c>
      <c r="AF17" s="3" t="n"/>
      <c r="AH17" s="1" t="n">
        <v>46007</v>
      </c>
      <c r="AI17" s="3" t="n"/>
    </row>
    <row r="18">
      <c r="A18" s="1" t="n">
        <v>46039</v>
      </c>
      <c r="D18" s="1" t="n">
        <v>45705</v>
      </c>
      <c r="E18" s="3">
        <f>'All BICs'!E18+'Price Action IC'!E18+Verticals!E18+'Auto JSP'!E18+'MOC IC'!E18+WUGA!E18+'MT BF'!E18+Umbrella!E18+'PM Umbrella'!E18+FOMC!E18+'Vol Crush'!E18+'FOMC Meeting'!E18+LDOM!E18+'Lunch Vol C Umb'!E18+Lottery!E18</f>
        <v/>
      </c>
      <c r="G18" s="1" t="n">
        <v>45733</v>
      </c>
      <c r="H18" s="3">
        <f>'All BICs'!H18+'Price Action IC'!H18+Verticals!H18+'Auto JSP'!H18+'Wed Thu RIC'!H18+Lottery!H18+'MOC IC'!H18+WUGA!H18+'MT BF'!H18+Umbrella!H18+'PM Umbrella'!H18+'Vol Crush'!H18+'Lunch Vol C Umb'!H18+LDOM!H18</f>
        <v/>
      </c>
      <c r="J18" s="1" t="n">
        <v>45764</v>
      </c>
      <c r="K18" s="3" t="n"/>
      <c r="L18" s="3" t="n"/>
      <c r="M18" s="1" t="n">
        <v>45794</v>
      </c>
      <c r="N18" s="3" t="n"/>
      <c r="P18" s="1" t="n">
        <v>45826</v>
      </c>
      <c r="Q18" s="3" t="n"/>
      <c r="S18" s="1" t="n">
        <v>45855</v>
      </c>
      <c r="T18" s="3" t="n"/>
      <c r="V18" s="1" t="n">
        <v>38581</v>
      </c>
      <c r="W18" s="3" t="n"/>
      <c r="Y18" s="1" t="n">
        <v>38612</v>
      </c>
      <c r="Z18" s="3" t="n"/>
      <c r="AB18" s="1" t="n">
        <v>38642</v>
      </c>
      <c r="AC18" s="3" t="n"/>
      <c r="AE18" s="1" t="n">
        <v>38673</v>
      </c>
      <c r="AF18" s="3" t="n"/>
      <c r="AH18" s="1" t="n">
        <v>46008</v>
      </c>
      <c r="AI18" s="3" t="n"/>
    </row>
    <row r="19">
      <c r="A19" s="1" t="n">
        <v>46040</v>
      </c>
      <c r="D19" s="1" t="n">
        <v>45706</v>
      </c>
      <c r="E19" s="3">
        <f>'All BICs'!E19+'Price Action IC'!E19+Verticals!E19+'Auto JSP'!E19+'Wed Thu RIC'!E19+Lottery!E19+'MOC IC'!E19+WUGA!E19+'MT BF'!E19+Umbrella!E19+'PM Umbrella'!E19+'Vol Crush'!E19+'Lunch Vol C Umb'!E19</f>
        <v/>
      </c>
      <c r="G19" s="1" t="n">
        <v>45734</v>
      </c>
      <c r="H19" s="3">
        <f>'All BICs'!H19+'Price Action IC'!H19+Verticals!H19+'Auto JSP'!H19+'Wed Thu RIC'!H19+Lottery!H19+'MOC IC'!H19+WUGA!H19+'MT BF'!H19+Umbrella!H19+'PM Umbrella'!H19+'Vol Crush'!H19+'Lunch Vol C Umb'!H19+LDOM!H19+'FOMC Meeting'!H19</f>
        <v/>
      </c>
      <c r="J19" s="1" t="n">
        <v>45765</v>
      </c>
      <c r="K19" s="3" t="n"/>
      <c r="L19" s="3" t="n"/>
      <c r="M19" s="1" t="n">
        <v>45795</v>
      </c>
      <c r="N19" s="3" t="n"/>
      <c r="P19" s="1" t="n">
        <v>45827</v>
      </c>
      <c r="Q19" s="3" t="n"/>
      <c r="S19" s="1" t="n">
        <v>45856</v>
      </c>
      <c r="T19" s="3" t="n"/>
      <c r="V19" s="1" t="n">
        <v>38582</v>
      </c>
      <c r="W19" s="3" t="n"/>
      <c r="Y19" s="1" t="n">
        <v>38613</v>
      </c>
      <c r="Z19" s="3" t="n"/>
      <c r="AB19" s="1" t="n">
        <v>38643</v>
      </c>
      <c r="AC19" s="3" t="n"/>
      <c r="AE19" s="1" t="n">
        <v>38674</v>
      </c>
      <c r="AF19" s="3" t="n"/>
      <c r="AH19" s="1" t="n">
        <v>46009</v>
      </c>
      <c r="AI19" s="3" t="n"/>
    </row>
    <row r="20">
      <c r="A20" s="1" t="n">
        <v>46041</v>
      </c>
      <c r="D20" s="1" t="n">
        <v>45707</v>
      </c>
      <c r="E20" s="3">
        <f>'All BICs'!E20+'Price Action IC'!E20+Verticals!E20+'Auto JSP'!E20+'Wed Thu RIC'!E20+Lottery!E20+'MOC IC'!E20+WUGA!E20+'MT BF'!E20+Umbrella!E20+'PM Umbrella'!E20+'Vol Crush'!E20+'Lunch Vol C Umb'!E20</f>
        <v/>
      </c>
      <c r="G20" s="1" t="n">
        <v>45735</v>
      </c>
      <c r="H20" s="3">
        <f>'All BICs'!H20+'Price Action IC'!H20+Verticals!H20+'Auto JSP'!H20+'Wed Thu RIC'!H20+Lottery!H20+'MOC IC'!H20+WUGA!H20+'MT BF'!H20+Umbrella!H20+'PM Umbrella'!H20+'Vol Crush'!H20+'Lunch Vol C Umb'!H20+LDOM!H20+'FOMC Meeting'!H20</f>
        <v/>
      </c>
      <c r="I20" s="3" t="n"/>
      <c r="J20" s="1" t="n">
        <v>45766</v>
      </c>
      <c r="K20" s="3" t="n"/>
      <c r="L20" s="3" t="n"/>
      <c r="M20" s="1" t="n">
        <v>45796</v>
      </c>
      <c r="N20" s="3" t="n"/>
      <c r="P20" s="1" t="n">
        <v>45828</v>
      </c>
      <c r="Q20" s="3" t="n"/>
      <c r="S20" s="1" t="n">
        <v>45857</v>
      </c>
      <c r="T20" s="3" t="n"/>
      <c r="V20" s="1" t="n">
        <v>38583</v>
      </c>
      <c r="W20" s="3" t="n"/>
      <c r="Y20" s="1" t="n">
        <v>38614</v>
      </c>
      <c r="Z20" s="3" t="n"/>
      <c r="AB20" s="1" t="n">
        <v>38644</v>
      </c>
      <c r="AC20" s="3" t="n"/>
      <c r="AE20" s="1" t="n">
        <v>38675</v>
      </c>
      <c r="AF20" s="3" t="n"/>
      <c r="AH20" s="1" t="n">
        <v>46010</v>
      </c>
      <c r="AI20" s="3" t="n"/>
    </row>
    <row r="21">
      <c r="A21" s="1" t="n">
        <v>46042</v>
      </c>
      <c r="B21" s="3">
        <f>'All BICs'!B21+'Price Action IC'!B21+Verticals!B21+'Auto JSP'!B21+'MOC IC'!B21+WUGA!B21+'MT BF'!B21+Umbrella!B21+'PM Umbrella'!B21+FOMC!B21+'Vol Crush'!B21+'FOMC Meeting'!B21+LDOM!B21</f>
        <v/>
      </c>
      <c r="D21" s="1" t="n">
        <v>45708</v>
      </c>
      <c r="E21" s="3">
        <f>'All BICs'!E21+'Price Action IC'!E21+Verticals!E21+'Auto JSP'!E21+'Wed Thu RIC'!E21+Lottery!E21+'MOC IC'!E21+WUGA!E21+'MT BF'!E21+Umbrella!E21+'PM Umbrella'!E21+'Vol Crush'!E21+'Lunch Vol C Umb'!E21</f>
        <v/>
      </c>
      <c r="G21" s="1" t="n">
        <v>45736</v>
      </c>
      <c r="H21" s="3">
        <f>'All BICs'!H21+'Price Action IC'!H21+Verticals!H21+'Auto JSP'!H21+'Wed Thu RIC'!H21+Lottery!H21+'MOC IC'!H21+WUGA!H21+'MT BF'!H21+Umbrella!H21+'PM Umbrella'!H21+'Vol Crush'!H21+'Lunch Vol C Umb'!H21+LDOM!H21+'FOMC Meeting'!H21</f>
        <v/>
      </c>
      <c r="J21" s="1" t="n">
        <v>45767</v>
      </c>
      <c r="K21" s="3" t="n"/>
      <c r="L21" s="3" t="n"/>
      <c r="M21" s="1" t="n">
        <v>45797</v>
      </c>
      <c r="N21" s="3" t="n"/>
      <c r="P21" s="1" t="n">
        <v>45829</v>
      </c>
      <c r="Q21" s="3" t="n"/>
      <c r="S21" s="1" t="n">
        <v>45858</v>
      </c>
      <c r="T21" s="3" t="n"/>
      <c r="V21" s="1" t="n">
        <v>38584</v>
      </c>
      <c r="W21" s="3" t="n"/>
      <c r="Y21" s="1" t="n">
        <v>38615</v>
      </c>
      <c r="Z21" s="3" t="n"/>
      <c r="AB21" s="1" t="n">
        <v>38645</v>
      </c>
      <c r="AC21" s="3" t="n"/>
      <c r="AE21" s="1" t="n">
        <v>38676</v>
      </c>
      <c r="AF21" s="3" t="n"/>
      <c r="AH21" s="1" t="n">
        <v>46011</v>
      </c>
      <c r="AI21" s="3" t="n"/>
    </row>
    <row r="22">
      <c r="A22" s="1" t="n">
        <v>46043</v>
      </c>
      <c r="B22" s="3">
        <f>'All BICs'!B22+'Price Action IC'!B22+Verticals!B22+'Auto JSP'!B22+'MOC IC'!B22+WUGA!B22+'MT BF'!B22+Umbrella!B22+'PM Umbrella'!B22+FOMC!B22+'Vol Crush'!B22+'FOMC Meeting'!B22+LDOM!B22+'Wed Thu RIC'!B22</f>
        <v/>
      </c>
      <c r="D22" s="1" t="n">
        <v>45709</v>
      </c>
      <c r="E22" s="3" t="n"/>
      <c r="G22" s="1" t="n">
        <v>45737</v>
      </c>
      <c r="H22" s="3" t="n"/>
      <c r="J22" s="1" t="n">
        <v>45768</v>
      </c>
      <c r="K22" s="3" t="n"/>
      <c r="L22" s="3" t="n"/>
      <c r="M22" s="1" t="n">
        <v>45798</v>
      </c>
      <c r="N22" s="3" t="n"/>
      <c r="P22" s="1" t="n">
        <v>45830</v>
      </c>
      <c r="Q22" s="3" t="n"/>
      <c r="S22" s="1" t="n">
        <v>45859</v>
      </c>
      <c r="T22" s="3" t="n"/>
      <c r="V22" s="1" t="n">
        <v>38585</v>
      </c>
      <c r="W22" s="3" t="n"/>
      <c r="Y22" s="1" t="n">
        <v>38616</v>
      </c>
      <c r="Z22" s="3" t="n"/>
      <c r="AB22" s="1" t="n">
        <v>38646</v>
      </c>
      <c r="AC22" s="3" t="n"/>
      <c r="AE22" s="1" t="n">
        <v>38677</v>
      </c>
      <c r="AF22" s="3" t="n"/>
      <c r="AH22" s="1" t="n">
        <v>46012</v>
      </c>
      <c r="AI22" s="3" t="n"/>
    </row>
    <row r="23">
      <c r="A23" s="1" t="n">
        <v>46044</v>
      </c>
      <c r="B23" s="3">
        <f>'All BICs'!B23+'Price Action IC'!B23+Verticals!B23+'Auto JSP'!B23+'MOC IC'!B23+WUGA!B23+'MT BF'!B23+Umbrella!B23+'PM Umbrella'!B23+FOMC!B23+'Vol Crush'!B23+'FOMC Meeting'!B23+LDOM!B23+'Wed Thu RIC'!B23+Lottery!B23</f>
        <v/>
      </c>
      <c r="D23" s="1" t="n">
        <v>45710</v>
      </c>
      <c r="E23" s="3" t="n"/>
      <c r="G23" s="1" t="n">
        <v>45738</v>
      </c>
      <c r="H23" s="3" t="n"/>
      <c r="J23" s="1" t="n">
        <v>45769</v>
      </c>
      <c r="K23" s="3" t="n"/>
      <c r="L23" s="3" t="n"/>
      <c r="M23" s="1" t="n">
        <v>45799</v>
      </c>
      <c r="N23" s="3" t="n"/>
      <c r="P23" s="1" t="n">
        <v>45831</v>
      </c>
      <c r="Q23" s="3" t="n"/>
      <c r="S23" s="1" t="n">
        <v>45860</v>
      </c>
      <c r="T23" s="3" t="n"/>
      <c r="V23" s="1" t="n">
        <v>38586</v>
      </c>
      <c r="W23" s="3" t="n"/>
      <c r="Y23" s="1" t="n">
        <v>38617</v>
      </c>
      <c r="Z23" s="3" t="n"/>
      <c r="AB23" s="1" t="n">
        <v>38647</v>
      </c>
      <c r="AC23" s="3" t="n"/>
      <c r="AE23" s="1" t="n">
        <v>38678</v>
      </c>
      <c r="AF23" s="3" t="n"/>
      <c r="AH23" s="1" t="n">
        <v>46013</v>
      </c>
      <c r="AI23" s="3" t="n"/>
    </row>
    <row r="24">
      <c r="A24" s="1" t="n">
        <v>46045</v>
      </c>
      <c r="B24" s="3">
        <f>'All BICs'!B24+'Price Action IC'!B24+Verticals!B24+'Auto JSP'!B24+'MOC IC'!B24+WUGA!B24+'MT BF'!B24+Umbrella!B24+'PM Umbrella'!B24+FOMC!B24+'Vol Crush'!B24+'FOMC Meeting'!B24+LDOM!B24+'Wed Thu RIC'!B24+Lottery!B24</f>
        <v/>
      </c>
      <c r="D24" s="1" t="n">
        <v>45711</v>
      </c>
      <c r="E24" s="3">
        <f>'All BICs'!E24+'Price Action IC'!E24+Verticals!E24+'Auto JSP'!E24+'Wed Thu RIC'!E24+Lottery!E24+'MOC IC'!E24+WUGA!E24+'MT BF'!E24+Umbrella!E24+'PM Umbrella'!E24+'Vol Crush'!E24+'Lunch Vol C Umb'!E24</f>
        <v/>
      </c>
      <c r="G24" s="1" t="n">
        <v>45739</v>
      </c>
      <c r="H24" s="3">
        <f>'All BICs'!H24+'Price Action IC'!H24+Verticals!H24+'Auto JSP'!H24+'Wed Thu RIC'!H24+Lottery!H24+'MOC IC'!H24+WUGA!H24+'MT BF'!H24+Umbrella!H24+'PM Umbrella'!H24+'Vol Crush'!H24+'Lunch Vol C Umb'!H24+LDOM!H24+'FOMC Meeting'!H24</f>
        <v/>
      </c>
      <c r="J24" s="1" t="n">
        <v>45770</v>
      </c>
      <c r="K24" s="3" t="n"/>
      <c r="L24" s="3" t="n"/>
      <c r="M24" s="1" t="n">
        <v>45800</v>
      </c>
      <c r="N24" s="3" t="n"/>
      <c r="P24" s="1" t="n">
        <v>45832</v>
      </c>
      <c r="Q24" s="3" t="n"/>
      <c r="S24" s="1" t="n">
        <v>45861</v>
      </c>
      <c r="T24" s="3" t="n"/>
      <c r="V24" s="1" t="n">
        <v>38587</v>
      </c>
      <c r="W24" s="3" t="n"/>
      <c r="Y24" s="1" t="n">
        <v>38618</v>
      </c>
      <c r="Z24" s="3" t="n"/>
      <c r="AB24" s="1" t="n">
        <v>38648</v>
      </c>
      <c r="AC24" s="3" t="n"/>
      <c r="AE24" s="1" t="n">
        <v>38679</v>
      </c>
      <c r="AF24" s="3" t="n"/>
      <c r="AH24" s="1" t="n">
        <v>46014</v>
      </c>
      <c r="AI24" s="3" t="n"/>
    </row>
    <row r="25">
      <c r="A25" s="1" t="n">
        <v>46046</v>
      </c>
      <c r="D25" s="1" t="n">
        <v>45712</v>
      </c>
      <c r="E25" s="3">
        <f>'All BICs'!E25+'Price Action IC'!E25+Verticals!E25+'Auto JSP'!E25+'Wed Thu RIC'!E25+Lottery!E25+'MOC IC'!E25+WUGA!E25+'MT BF'!E25+Umbrella!E25+'PM Umbrella'!E25+'Vol Crush'!E25+'Lunch Vol C Umb'!E25</f>
        <v/>
      </c>
      <c r="G25" s="1" t="n">
        <v>45740</v>
      </c>
      <c r="H25" s="3">
        <f>'All BICs'!H25+'Price Action IC'!H25+Verticals!H25+'Auto JSP'!H25+'Wed Thu RIC'!H25+Lottery!H25+'MOC IC'!H25+WUGA!H25+'MT BF'!H25+Umbrella!H25+'PM Umbrella'!H25+'Vol Crush'!H25+'Lunch Vol C Umb'!H25+LDOM!H25+'FOMC Meeting'!H25</f>
        <v/>
      </c>
      <c r="J25" s="1" t="n">
        <v>45771</v>
      </c>
      <c r="K25" s="3" t="n"/>
      <c r="L25" s="3" t="n"/>
      <c r="M25" s="1" t="n">
        <v>45801</v>
      </c>
      <c r="N25" s="3" t="n"/>
      <c r="P25" s="1" t="n">
        <v>45833</v>
      </c>
      <c r="Q25" s="3" t="n"/>
      <c r="S25" s="1" t="n">
        <v>45862</v>
      </c>
      <c r="T25" s="3" t="n"/>
      <c r="V25" s="1" t="n">
        <v>38588</v>
      </c>
      <c r="W25" s="3" t="n"/>
      <c r="Y25" s="1" t="n">
        <v>38619</v>
      </c>
      <c r="Z25" s="3" t="n"/>
      <c r="AB25" s="1" t="n">
        <v>38649</v>
      </c>
      <c r="AC25" s="3" t="n"/>
      <c r="AE25" s="1" t="n">
        <v>38680</v>
      </c>
      <c r="AF25" s="3" t="n"/>
      <c r="AH25" s="1" t="n">
        <v>46015</v>
      </c>
      <c r="AI25" s="3" t="n"/>
    </row>
    <row r="26">
      <c r="A26" s="1" t="n">
        <v>46047</v>
      </c>
      <c r="D26" s="1" t="n">
        <v>45713</v>
      </c>
      <c r="E26" s="3">
        <f>'All BICs'!E26+'Price Action IC'!E26+Verticals!E26+'Auto JSP'!E26+'Wed Thu RIC'!E26+Lottery!E26+'MOC IC'!E26+WUGA!E26+'MT BF'!E26+Umbrella!E26+'PM Umbrella'!E26+'Vol Crush'!E26+'Lunch Vol C Umb'!E26</f>
        <v/>
      </c>
      <c r="G26" s="1" t="n">
        <v>45741</v>
      </c>
      <c r="H26" s="3">
        <f>'All BICs'!H26+'Price Action IC'!H26+Verticals!H26+'Auto JSP'!H26+'Wed Thu RIC'!H26+Lottery!H26+'MOC IC'!H26+WUGA!H26+'MT BF'!H26+Umbrella!H26+'PM Umbrella'!H26+'Vol Crush'!H26+'Lunch Vol C Umb'!H26+LDOM!H26+'FOMC Meeting'!H26</f>
        <v/>
      </c>
      <c r="J26" s="1" t="n">
        <v>45772</v>
      </c>
      <c r="K26" s="3" t="n"/>
      <c r="L26" s="3" t="n"/>
      <c r="M26" s="1" t="n">
        <v>45802</v>
      </c>
      <c r="N26" s="3" t="n"/>
      <c r="P26" s="1" t="n">
        <v>45834</v>
      </c>
      <c r="Q26" s="3" t="n"/>
      <c r="S26" s="1" t="n">
        <v>45863</v>
      </c>
      <c r="T26" s="3" t="n"/>
      <c r="V26" s="1" t="n">
        <v>38589</v>
      </c>
      <c r="W26" s="3" t="n"/>
      <c r="Y26" s="1" t="n">
        <v>38620</v>
      </c>
      <c r="Z26" s="3" t="n"/>
      <c r="AB26" s="1" t="n">
        <v>38650</v>
      </c>
      <c r="AC26" s="3" t="n"/>
      <c r="AE26" s="1" t="n">
        <v>38681</v>
      </c>
      <c r="AF26" s="3" t="n"/>
      <c r="AH26" s="1" t="n">
        <v>46016</v>
      </c>
      <c r="AI26" s="3" t="n"/>
      <c r="AL26" s="3" t="n"/>
    </row>
    <row r="27">
      <c r="A27" s="1" t="n">
        <v>46048</v>
      </c>
      <c r="B27" s="3">
        <f>'All BICs'!B27+'Price Action IC'!B27+Verticals!B27+'Auto JSP'!B27+'MOC IC'!B27+WUGA!B27+'MT BF'!B27+Umbrella!B27+'PM Umbrella'!B27+FOMC!B27+'Vol Crush'!B27+'FOMC Meeting'!B27+LDOM!B27+'Wed Thu RIC'!B27+Lottery!B27</f>
        <v/>
      </c>
      <c r="D27" s="1" t="n">
        <v>45714</v>
      </c>
      <c r="E27" s="3">
        <f>'All BICs'!E27+'Price Action IC'!E27+Verticals!E27+'Auto JSP'!E27+'Wed Thu RIC'!E27+Lottery!E27+'MOC IC'!E27+WUGA!E27+'MT BF'!E27+Umbrella!E27+'PM Umbrella'!E27+'Vol Crush'!E27+'Lunch Vol C Umb'!E27</f>
        <v/>
      </c>
      <c r="F27" s="3" t="n"/>
      <c r="G27" s="1" t="n">
        <v>45742</v>
      </c>
      <c r="H27" s="3">
        <f>'All BICs'!H27+'Price Action IC'!H27+Verticals!H27+'Auto JSP'!H27+'Wed Thu RIC'!H27+Lottery!H27+'MOC IC'!H27+WUGA!H27+'MT BF'!H27+Umbrella!H27+'PM Umbrella'!H27+'Vol Crush'!H27+'Lunch Vol C Umb'!H27+LDOM!H27+'FOMC Meeting'!H27</f>
        <v/>
      </c>
      <c r="J27" s="1" t="n">
        <v>45773</v>
      </c>
      <c r="K27" s="3" t="n"/>
      <c r="L27" s="3" t="n"/>
      <c r="M27" s="1" t="n">
        <v>45803</v>
      </c>
      <c r="N27" s="3" t="n"/>
      <c r="P27" s="1" t="n">
        <v>45835</v>
      </c>
      <c r="Q27" s="3" t="n"/>
      <c r="S27" s="1" t="n">
        <v>45864</v>
      </c>
      <c r="T27" s="3" t="n"/>
      <c r="V27" s="1" t="n">
        <v>38590</v>
      </c>
      <c r="W27" s="3" t="n"/>
      <c r="Y27" s="1" t="n">
        <v>38621</v>
      </c>
      <c r="Z27" s="3" t="n"/>
      <c r="AB27" s="1" t="n">
        <v>38651</v>
      </c>
      <c r="AC27" s="3" t="n"/>
      <c r="AE27" s="1" t="n">
        <v>38682</v>
      </c>
      <c r="AF27" s="3" t="n"/>
      <c r="AH27" s="1" t="n">
        <v>46017</v>
      </c>
      <c r="AI27" s="3" t="n"/>
    </row>
    <row r="28">
      <c r="A28" s="1" t="n">
        <v>46049</v>
      </c>
      <c r="B28" s="3">
        <f>'All BICs'!B28+'Price Action IC'!B28+Verticals!B28+'Auto JSP'!B28+'MOC IC'!B28+WUGA!B28+'MT BF'!B28+Umbrella!B28+'PM Umbrella'!B28+FOMC!B28+'Vol Crush'!B28+'FOMC Meeting'!B28+LDOM!B28+'Wed Thu RIC'!B28+Lottery!B28</f>
        <v/>
      </c>
      <c r="D28" s="1" t="n">
        <v>45715</v>
      </c>
      <c r="E28" s="3">
        <f>'All BICs'!E28+'Price Action IC'!E28+Verticals!E28+'Auto JSP'!E28+'Wed Thu RIC'!E28+Lottery!E28+'MOC IC'!E28+WUGA!E28+'MT BF'!E28+Umbrella!E28+'PM Umbrella'!E28+'Vol Crush'!E28+'Lunch Vol C Umb'!E28+LDOM!E28</f>
        <v/>
      </c>
      <c r="G28" s="1" t="n">
        <v>45743</v>
      </c>
      <c r="H28" s="3">
        <f>'All BICs'!H28+'Price Action IC'!H28+Verticals!H28+'Auto JSP'!H28+'Wed Thu RIC'!H28+Lottery!H28+'MOC IC'!H28+WUGA!H28+'MT BF'!H28+Umbrella!H28+'PM Umbrella'!H28+'Vol Crush'!H28+'Lunch Vol C Umb'!H28+LDOM!H28+'FOMC Meeting'!H28</f>
        <v/>
      </c>
      <c r="J28" s="1" t="n">
        <v>45774</v>
      </c>
      <c r="L28" s="3" t="n"/>
      <c r="M28" s="1" t="n">
        <v>45804</v>
      </c>
      <c r="N28" s="3" t="n"/>
      <c r="P28" s="1" t="n">
        <v>45836</v>
      </c>
      <c r="Q28" s="3" t="n"/>
      <c r="S28" s="1" t="n">
        <v>45865</v>
      </c>
      <c r="T28" s="3" t="n"/>
      <c r="V28" s="1" t="n">
        <v>38591</v>
      </c>
      <c r="W28" s="3" t="n"/>
      <c r="Y28" s="1" t="n">
        <v>38622</v>
      </c>
      <c r="Z28" s="3" t="n"/>
      <c r="AB28" s="1" t="n">
        <v>38652</v>
      </c>
      <c r="AC28" s="3" t="n"/>
      <c r="AE28" s="1" t="n">
        <v>38683</v>
      </c>
      <c r="AF28" s="3" t="n"/>
      <c r="AH28" s="1" t="n">
        <v>46018</v>
      </c>
      <c r="AI28" s="3" t="n"/>
    </row>
    <row r="29">
      <c r="A29" s="1" t="n">
        <v>46050</v>
      </c>
      <c r="B29" s="3">
        <f>'All BICs'!B29+'Price Action IC'!B29+Verticals!B29+'Auto JSP'!B29+'MOC IC'!B29+WUGA!B29+'MT BF'!B29+Umbrella!B29+'PM Umbrella'!B29+FOMC!B29+'Vol Crush'!B29+'FOMC Meeting'!B29+LDOM!B29+'Wed Thu RIC'!B29+Lottery!B29</f>
        <v/>
      </c>
      <c r="D29" s="1" t="n">
        <v>45716</v>
      </c>
      <c r="E29" s="3" t="n"/>
      <c r="G29" s="1" t="n">
        <v>45744</v>
      </c>
      <c r="J29" s="1" t="n">
        <v>45775</v>
      </c>
      <c r="K29" s="3" t="n"/>
      <c r="L29" s="3" t="n"/>
      <c r="M29" s="1" t="n">
        <v>45805</v>
      </c>
      <c r="N29" s="3" t="n"/>
      <c r="P29" s="1" t="n">
        <v>45837</v>
      </c>
      <c r="Q29" s="3" t="n"/>
      <c r="S29" s="1" t="n">
        <v>45866</v>
      </c>
      <c r="T29" s="3" t="n"/>
      <c r="V29" s="1" t="n">
        <v>38592</v>
      </c>
      <c r="W29" s="3" t="n"/>
      <c r="Y29" s="1" t="n">
        <v>38623</v>
      </c>
      <c r="Z29" s="3" t="n"/>
      <c r="AB29" s="1" t="n">
        <v>38653</v>
      </c>
      <c r="AC29" s="3" t="n"/>
      <c r="AE29" s="1" t="n">
        <v>38684</v>
      </c>
      <c r="AF29" s="3" t="n"/>
      <c r="AH29" s="1" t="n">
        <v>46019</v>
      </c>
      <c r="AI29" s="3" t="n"/>
    </row>
    <row r="30">
      <c r="A30" s="1" t="n">
        <v>46051</v>
      </c>
      <c r="B30" s="3">
        <f>'All BICs'!B30+'Price Action IC'!B30+Verticals!B30+'Auto JSP'!B30+'MOC IC'!B30+WUGA!B30+'MT BF'!B30+Umbrella!B30+'PM Umbrella'!B30+FOMC!B30+'Vol Crush'!B30+'FOMC Meeting'!B30+LDOM!B30+'Wed Thu RIC'!B30+Lottery!B30</f>
        <v/>
      </c>
      <c r="D30" s="1" t="n"/>
      <c r="E30" s="3" t="n"/>
      <c r="G30" s="1" t="n">
        <v>45745</v>
      </c>
      <c r="H30" s="3" t="n"/>
      <c r="I30" s="3" t="n"/>
      <c r="J30" s="1" t="n">
        <v>45776</v>
      </c>
      <c r="K30" s="3" t="n"/>
      <c r="L30" s="3" t="n"/>
      <c r="M30" s="1" t="n">
        <v>45806</v>
      </c>
      <c r="N30" s="3" t="n"/>
      <c r="P30" s="1" t="n">
        <v>45838</v>
      </c>
      <c r="Q30" s="3" t="n"/>
      <c r="S30" s="1" t="n">
        <v>45867</v>
      </c>
      <c r="T30" s="3" t="n"/>
      <c r="V30" s="1" t="n">
        <v>38593</v>
      </c>
      <c r="W30" s="3" t="n"/>
      <c r="Y30" s="1" t="n">
        <v>38624</v>
      </c>
      <c r="Z30" s="3" t="n"/>
      <c r="AB30" s="1" t="n">
        <v>38654</v>
      </c>
      <c r="AC30" s="3" t="n"/>
      <c r="AE30" s="1" t="n">
        <v>38685</v>
      </c>
      <c r="AF30" s="3" t="n"/>
      <c r="AH30" s="1" t="n">
        <v>46020</v>
      </c>
      <c r="AI30" s="3" t="n"/>
    </row>
    <row r="31">
      <c r="A31" s="1" t="n">
        <v>46052</v>
      </c>
      <c r="B31" s="3">
        <f>'All BICs'!B31+'Price Action IC'!B31+Verticals!B31+'Auto JSP'!B31+'MOC IC'!B31+WUGA!B31+'MT BF'!B31+Umbrella!B31+'PM Umbrella'!B31+FOMC!B31+'Vol Crush'!B31+'FOMC Meeting'!B31+LDOM!B31+'Wed Thu RIC'!B31+Lottery!B31</f>
        <v/>
      </c>
      <c r="D31" s="1" t="n"/>
      <c r="E31" s="3" t="n"/>
      <c r="G31" s="1" t="n">
        <v>45746</v>
      </c>
      <c r="H31" s="3">
        <f>'All BICs'!H31+'Price Action IC'!H31+Verticals!H31+'Auto JSP'!H31+'Wed Thu RIC'!H31+Lottery!H31+'MOC IC'!H31+WUGA!H31+'MT BF'!H31+Umbrella!H31+'PM Umbrella'!H31+'Vol Crush'!H31+'Lunch Vol C Umb'!H31+LDOM!H31+'FOMC Meeting'!H31</f>
        <v/>
      </c>
      <c r="J31" s="1" t="n">
        <v>45777</v>
      </c>
      <c r="K31" s="3" t="n"/>
      <c r="L31" s="3" t="n"/>
      <c r="M31" s="1" t="n">
        <v>45807</v>
      </c>
      <c r="N31" s="3" t="n"/>
      <c r="P31" s="1" t="n"/>
      <c r="Q31" s="3" t="n"/>
      <c r="S31" s="1" t="n">
        <v>45868</v>
      </c>
      <c r="T31" s="3" t="n"/>
      <c r="V31" s="1" t="n">
        <v>38594</v>
      </c>
      <c r="W31" s="3" t="n"/>
      <c r="Y31" s="1" t="n">
        <v>38625</v>
      </c>
      <c r="Z31" s="3" t="n"/>
      <c r="AB31" s="1" t="n">
        <v>38655</v>
      </c>
      <c r="AC31" s="3" t="n"/>
      <c r="AE31" s="1" t="n">
        <v>38686</v>
      </c>
      <c r="AF31" s="3" t="n"/>
      <c r="AH31" s="1" t="n">
        <v>46021</v>
      </c>
      <c r="AI31" s="3" t="n"/>
    </row>
    <row r="32">
      <c r="A32" s="1" t="n">
        <v>46053</v>
      </c>
      <c r="D32" s="1" t="n"/>
      <c r="E32" s="3" t="n"/>
      <c r="G32" s="1" t="n">
        <v>45747</v>
      </c>
      <c r="H32" s="3">
        <f>'All BICs'!H32+'Price Action IC'!H32+Verticals!H32+'Auto JSP'!H32+'Wed Thu RIC'!H32+Lottery!H32+'MOC IC'!H32+WUGA!H32+'MT BF'!H32+Umbrella!H32+'PM Umbrella'!H32+'Vol Crush'!H32+'Lunch Vol C Umb'!H32+LDOM!H32+'FOMC Meeting'!H32</f>
        <v/>
      </c>
      <c r="J32" s="1" t="n"/>
      <c r="L32" s="3" t="n"/>
      <c r="M32" s="1" t="n"/>
      <c r="N32" s="3" t="n"/>
      <c r="P32" s="1" t="n"/>
      <c r="Q32" s="3" t="n"/>
      <c r="S32" s="1" t="n">
        <v>45869</v>
      </c>
      <c r="T32" s="3" t="n"/>
      <c r="V32" s="1" t="n">
        <v>38595</v>
      </c>
      <c r="W32" s="3" t="n"/>
      <c r="Y32" s="1" t="n">
        <v>38626</v>
      </c>
      <c r="Z32" s="3" t="n"/>
      <c r="AB32" s="1" t="n">
        <v>38656</v>
      </c>
      <c r="AC32" s="3" t="n"/>
      <c r="AE32" s="1" t="n">
        <v>38687</v>
      </c>
      <c r="AF32" s="3" t="n"/>
      <c r="AH32" s="1" t="n">
        <v>46022</v>
      </c>
      <c r="AI32" s="3" t="n"/>
    </row>
    <row r="33">
      <c r="E33" s="3" t="n"/>
    </row>
    <row r="34">
      <c r="E34" s="3" t="n"/>
    </row>
    <row r="35">
      <c r="A35" t="inlineStr">
        <is>
          <t>Total</t>
        </is>
      </c>
      <c r="B35" s="3">
        <f>SUM(B2:B34)</f>
        <v/>
      </c>
      <c r="E35" s="3">
        <f>SUM(E2:E27)</f>
        <v/>
      </c>
      <c r="F35" s="3" t="n"/>
      <c r="H35" s="3">
        <f>SUM(H2:H32)</f>
        <v/>
      </c>
      <c r="I35" s="3">
        <f>SUM(I2:I31)</f>
        <v/>
      </c>
      <c r="K35" s="3">
        <f>SUM(K2:K31)</f>
        <v/>
      </c>
      <c r="L35" s="3">
        <f>SUM(L1:L34)</f>
        <v/>
      </c>
      <c r="N35" s="3">
        <f>SUM(N2:N34)</f>
        <v/>
      </c>
      <c r="O35" s="3" t="n"/>
      <c r="Q35" s="3">
        <f>SUM(Q2:Q34)</f>
        <v/>
      </c>
      <c r="T35" s="3">
        <f>SUM(T2:T34)</f>
        <v/>
      </c>
      <c r="W35" s="3">
        <f>SUM(W2:W34)</f>
        <v/>
      </c>
      <c r="Z35" s="3">
        <f>SUM(Z2:Z34)</f>
        <v/>
      </c>
      <c r="AC35" s="3">
        <f>SUM(AC2:AC34)</f>
        <v/>
      </c>
      <c r="AF35" s="3">
        <f>SUM(AF2:AF34)</f>
        <v/>
      </c>
      <c r="AI35" s="3">
        <f>SUM(AI2:AI34)</f>
        <v/>
      </c>
    </row>
  </sheetData>
  <mergeCells count="4">
    <mergeCell ref="D1:E1"/>
    <mergeCell ref="J1:K1"/>
    <mergeCell ref="G1:H1"/>
    <mergeCell ref="A1:B1"/>
  </mergeCells>
  <conditionalFormatting sqref="B2:B18 B20:B32 C3">
    <cfRule type="cellIs" priority="108" operator="greaterThan" dxfId="0">
      <formula>0</formula>
    </cfRule>
    <cfRule type="cellIs" priority="107" operator="lessThan" dxfId="1">
      <formula>0</formula>
    </cfRule>
  </conditionalFormatting>
  <conditionalFormatting sqref="B35">
    <cfRule type="cellIs" priority="106" operator="greaterThan" dxfId="0">
      <formula>0</formula>
    </cfRule>
    <cfRule type="cellIs" priority="105" operator="lessThan" dxfId="1">
      <formula>0</formula>
    </cfRule>
  </conditionalFormatting>
  <conditionalFormatting sqref="E2:E35">
    <cfRule type="cellIs" priority="11" operator="lessThan" dxfId="1">
      <formula>0</formula>
    </cfRule>
    <cfRule type="cellIs" priority="12" operator="greaterThan" dxfId="0">
      <formula>0</formula>
    </cfRule>
  </conditionalFormatting>
  <conditionalFormatting sqref="F27">
    <cfRule type="cellIs" priority="98" operator="greaterThan" dxfId="0">
      <formula>0</formula>
    </cfRule>
    <cfRule type="cellIs" priority="97" operator="lessThan" dxfId="1">
      <formula>0</formula>
    </cfRule>
  </conditionalFormatting>
  <conditionalFormatting sqref="F35">
    <cfRule type="cellIs" priority="94" operator="greaterThan" dxfId="0">
      <formula>0</formula>
    </cfRule>
    <cfRule type="cellIs" priority="93" operator="lessThan" dxfId="1">
      <formula>0</formula>
    </cfRule>
  </conditionalFormatting>
  <conditionalFormatting sqref="H2:H28">
    <cfRule type="cellIs" priority="9" operator="lessThan" dxfId="1">
      <formula>0</formula>
    </cfRule>
    <cfRule type="cellIs" priority="10" operator="greaterThan" dxfId="0">
      <formula>0</formula>
    </cfRule>
  </conditionalFormatting>
  <conditionalFormatting sqref="H31:H32">
    <cfRule type="cellIs" priority="7" operator="lessThan" dxfId="1">
      <formula>0</formula>
    </cfRule>
    <cfRule type="cellIs" priority="8" operator="greaterThan" dxfId="0">
      <formula>0</formula>
    </cfRule>
  </conditionalFormatting>
  <conditionalFormatting sqref="H30:I30">
    <cfRule type="cellIs" priority="88" operator="greaterThan" dxfId="0">
      <formula>0</formula>
    </cfRule>
    <cfRule type="cellIs" priority="87" operator="lessThan" dxfId="1">
      <formula>0</formula>
    </cfRule>
  </conditionalFormatting>
  <conditionalFormatting sqref="H35:I35">
    <cfRule type="cellIs" priority="96" operator="greaterThan" dxfId="0">
      <formula>0</formula>
    </cfRule>
    <cfRule type="cellIs" priority="95" operator="lessThan" dxfId="1">
      <formula>0</formula>
    </cfRule>
  </conditionalFormatting>
  <conditionalFormatting sqref="I3">
    <cfRule type="cellIs" priority="99" operator="lessThan" dxfId="1">
      <formula>0</formula>
    </cfRule>
    <cfRule type="cellIs" priority="100" operator="greaterThan" dxfId="0">
      <formula>0</formula>
    </cfRule>
  </conditionalFormatting>
  <conditionalFormatting sqref="I20">
    <cfRule type="cellIs" priority="92" operator="greaterThan" dxfId="0">
      <formula>0</formula>
    </cfRule>
    <cfRule type="cellIs" priority="91" operator="lessThan" dxfId="1">
      <formula>0</formula>
    </cfRule>
  </conditionalFormatting>
  <conditionalFormatting sqref="K2:K27">
    <cfRule type="cellIs" priority="2" operator="greaterThan" dxfId="0">
      <formula>0</formula>
    </cfRule>
    <cfRule type="cellIs" priority="1" operator="lessThan" dxfId="1">
      <formula>0</formula>
    </cfRule>
  </conditionalFormatting>
  <conditionalFormatting sqref="K29:K31">
    <cfRule type="cellIs" priority="76" operator="greaterThan" dxfId="0">
      <formula>0</formula>
    </cfRule>
    <cfRule type="cellIs" priority="75" operator="lessThan" dxfId="1">
      <formula>0</formula>
    </cfRule>
  </conditionalFormatting>
  <conditionalFormatting sqref="K35:L35">
    <cfRule type="cellIs" priority="73" operator="lessThan" dxfId="1">
      <formula>0</formula>
    </cfRule>
    <cfRule type="cellIs" priority="74" operator="greaterThan" dxfId="0">
      <formula>0</formula>
    </cfRule>
  </conditionalFormatting>
  <conditionalFormatting sqref="L10:L32">
    <cfRule type="cellIs" priority="80" operator="greaterThan" dxfId="0">
      <formula>0</formula>
    </cfRule>
    <cfRule type="cellIs" priority="79" operator="lessThan" dxfId="1">
      <formula>0</formula>
    </cfRule>
  </conditionalFormatting>
  <conditionalFormatting sqref="N2:N32">
    <cfRule type="cellIs" priority="71" operator="lessThan" dxfId="1">
      <formula>0</formula>
    </cfRule>
    <cfRule type="cellIs" priority="72" operator="greaterThan" dxfId="0">
      <formula>0</formula>
    </cfRule>
  </conditionalFormatting>
  <conditionalFormatting sqref="N35">
    <cfRule type="cellIs" priority="69" operator="lessThan" dxfId="1">
      <formula>0</formula>
    </cfRule>
    <cfRule type="cellIs" priority="70" operator="greaterThan" dxfId="0">
      <formula>0</formula>
    </cfRule>
  </conditionalFormatting>
  <conditionalFormatting sqref="Q2:Q32">
    <cfRule type="cellIs" priority="63" operator="lessThan" dxfId="1">
      <formula>0</formula>
    </cfRule>
    <cfRule type="cellIs" priority="64" operator="greaterThan" dxfId="0">
      <formula>0</formula>
    </cfRule>
  </conditionalFormatting>
  <conditionalFormatting sqref="Q35">
    <cfRule type="cellIs" priority="61" operator="lessThan" dxfId="1">
      <formula>0</formula>
    </cfRule>
    <cfRule type="cellIs" priority="62" operator="greaterThan" dxfId="0">
      <formula>0</formula>
    </cfRule>
  </conditionalFormatting>
  <conditionalFormatting sqref="T2:T32">
    <cfRule type="cellIs" priority="59" operator="lessThan" dxfId="1">
      <formula>0</formula>
    </cfRule>
    <cfRule type="cellIs" priority="60" operator="greaterThan" dxfId="0">
      <formula>0</formula>
    </cfRule>
  </conditionalFormatting>
  <conditionalFormatting sqref="T35">
    <cfRule type="cellIs" priority="57" operator="lessThan" dxfId="1">
      <formula>0</formula>
    </cfRule>
    <cfRule type="cellIs" priority="58" operator="greaterThan" dxfId="0">
      <formula>0</formula>
    </cfRule>
  </conditionalFormatting>
  <conditionalFormatting sqref="W2:W32">
    <cfRule type="cellIs" priority="55" operator="lessThan" dxfId="1">
      <formula>0</formula>
    </cfRule>
    <cfRule type="cellIs" priority="56" operator="greaterThan" dxfId="0">
      <formula>0</formula>
    </cfRule>
  </conditionalFormatting>
  <conditionalFormatting sqref="W35">
    <cfRule type="cellIs" priority="53" operator="lessThan" dxfId="1">
      <formula>0</formula>
    </cfRule>
    <cfRule type="cellIs" priority="54" operator="greaterThan" dxfId="0">
      <formula>0</formula>
    </cfRule>
  </conditionalFormatting>
  <conditionalFormatting sqref="Z2:Z32">
    <cfRule type="cellIs" priority="52" operator="greaterThan" dxfId="0">
      <formula>0</formula>
    </cfRule>
    <cfRule type="cellIs" priority="51" operator="lessThan" dxfId="1">
      <formula>0</formula>
    </cfRule>
  </conditionalFormatting>
  <conditionalFormatting sqref="Z35">
    <cfRule type="cellIs" priority="49" operator="lessThan" dxfId="1">
      <formula>0</formula>
    </cfRule>
    <cfRule type="cellIs" priority="50" operator="greaterThan" dxfId="0">
      <formula>0</formula>
    </cfRule>
  </conditionalFormatting>
  <conditionalFormatting sqref="AC2:AC32">
    <cfRule type="cellIs" priority="42" operator="greaterThan" dxfId="0">
      <formula>0</formula>
    </cfRule>
    <cfRule type="cellIs" priority="41" operator="lessThan" dxfId="1">
      <formula>0</formula>
    </cfRule>
  </conditionalFormatting>
  <conditionalFormatting sqref="AC35">
    <cfRule type="cellIs" priority="46" operator="greaterThan" dxfId="0">
      <formula>0</formula>
    </cfRule>
    <cfRule type="cellIs" priority="45" operator="lessThan" dxfId="1">
      <formula>0</formula>
    </cfRule>
  </conditionalFormatting>
  <conditionalFormatting sqref="AF2:AF32">
    <cfRule type="cellIs" priority="23" operator="lessThan" dxfId="1">
      <formula>0</formula>
    </cfRule>
    <cfRule type="cellIs" priority="24" operator="greaterThan" dxfId="0">
      <formula>0</formula>
    </cfRule>
  </conditionalFormatting>
  <conditionalFormatting sqref="AF35">
    <cfRule type="cellIs" priority="40" operator="greaterThan" dxfId="0">
      <formula>0</formula>
    </cfRule>
    <cfRule type="cellIs" priority="39" operator="lessThan" dxfId="1">
      <formula>0</formula>
    </cfRule>
  </conditionalFormatting>
  <conditionalFormatting sqref="AI2:AI32">
    <cfRule type="cellIs" priority="14" operator="greaterThan" dxfId="0">
      <formula>0</formula>
    </cfRule>
    <cfRule type="cellIs" priority="13" operator="lessThan" dxfId="1">
      <formula>0</formula>
    </cfRule>
  </conditionalFormatting>
  <conditionalFormatting sqref="AI35">
    <cfRule type="cellIs" priority="36" operator="greaterThan" dxfId="0">
      <formula>0</formula>
    </cfRule>
    <cfRule type="cellIs" priority="35" operator="lessThan" dxfId="1">
      <formula>0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I35"/>
  <sheetViews>
    <sheetView topLeftCell="A4" workbookViewId="0">
      <selection activeCell="H20" sqref="H20"/>
    </sheetView>
  </sheetViews>
  <sheetFormatPr baseColWidth="8" defaultRowHeight="15"/>
  <cols>
    <col width="18.42578125" customWidth="1" min="1" max="1"/>
    <col width="15.42578125" customWidth="1" style="3" min="2" max="2"/>
    <col width="11.5703125" customWidth="1" min="4" max="4"/>
    <col width="12.5703125" customWidth="1" min="5" max="5"/>
    <col width="11.5703125" customWidth="1" min="7" max="7"/>
    <col width="12.5703125" customWidth="1" min="8" max="8"/>
    <col width="11.5703125" customWidth="1" min="10" max="10"/>
    <col width="10.140625" bestFit="1" customWidth="1" min="11" max="11"/>
    <col width="10.42578125" bestFit="1" customWidth="1" min="13" max="13"/>
    <col width="10.85546875" bestFit="1" customWidth="1" min="14" max="14"/>
    <col width="10.85546875" bestFit="1" customWidth="1" min="17" max="17"/>
    <col width="10.85546875" bestFit="1" customWidth="1" min="20" max="20"/>
    <col width="10.85546875" bestFit="1" customWidth="1" min="23" max="23"/>
    <col width="10.85546875" bestFit="1" customWidth="1" min="26" max="26"/>
    <col width="10.85546875" bestFit="1" customWidth="1" min="29" max="29"/>
    <col width="10.85546875" bestFit="1" customWidth="1" min="32" max="32"/>
    <col width="10.140625" bestFit="1" customWidth="1" min="35" max="35"/>
  </cols>
  <sheetData>
    <row r="1" customFormat="1" s="2">
      <c r="A1" s="9" t="inlineStr">
        <is>
          <t>January</t>
        </is>
      </c>
      <c r="D1" s="9" t="inlineStr">
        <is>
          <t>February</t>
        </is>
      </c>
      <c r="G1" s="9" t="inlineStr">
        <is>
          <t>March</t>
        </is>
      </c>
      <c r="J1" s="2" t="inlineStr">
        <is>
          <t>April</t>
        </is>
      </c>
      <c r="M1" s="2" t="inlineStr">
        <is>
          <t>May</t>
        </is>
      </c>
      <c r="P1" s="2" t="inlineStr">
        <is>
          <t>Jun</t>
        </is>
      </c>
      <c r="S1" s="2" t="inlineStr">
        <is>
          <t>Jul</t>
        </is>
      </c>
      <c r="V1" s="2" t="inlineStr">
        <is>
          <t>Aug</t>
        </is>
      </c>
      <c r="Y1" s="2" t="inlineStr">
        <is>
          <t>Sep</t>
        </is>
      </c>
      <c r="AB1" s="2" t="inlineStr">
        <is>
          <t>Oct</t>
        </is>
      </c>
      <c r="AE1" s="2" t="inlineStr">
        <is>
          <t>Nov</t>
        </is>
      </c>
      <c r="AH1" s="2" t="inlineStr">
        <is>
          <t>Dec</t>
        </is>
      </c>
    </row>
    <row r="2">
      <c r="A2" t="n">
        <v>1</v>
      </c>
      <c r="D2" t="n">
        <v>1</v>
      </c>
      <c r="E2" s="3" t="n"/>
      <c r="G2" t="n">
        <v>1</v>
      </c>
      <c r="H2" s="3" t="n"/>
      <c r="J2" t="n">
        <v>1</v>
      </c>
      <c r="K2" s="3" t="n"/>
      <c r="M2" t="n">
        <v>1</v>
      </c>
      <c r="N2" s="3" t="n"/>
      <c r="P2" t="n">
        <v>1</v>
      </c>
      <c r="Q2" s="3" t="n"/>
      <c r="S2" t="n">
        <v>1</v>
      </c>
      <c r="T2" s="3" t="n"/>
      <c r="V2" t="n">
        <v>1</v>
      </c>
      <c r="W2" s="3" t="n"/>
      <c r="Y2" t="n">
        <v>1</v>
      </c>
      <c r="Z2" s="3" t="n"/>
      <c r="AB2" t="n">
        <v>1</v>
      </c>
      <c r="AC2" s="3" t="n"/>
      <c r="AE2" t="n">
        <v>1</v>
      </c>
      <c r="AF2" s="3" t="n"/>
      <c r="AH2" t="n">
        <v>1</v>
      </c>
      <c r="AI2" s="3" t="n"/>
    </row>
    <row r="3">
      <c r="A3" t="n">
        <v>2</v>
      </c>
      <c r="D3" t="n">
        <v>2</v>
      </c>
      <c r="E3" s="3" t="n"/>
      <c r="G3" t="n">
        <v>2</v>
      </c>
      <c r="H3" s="3" t="n"/>
      <c r="J3" t="n">
        <v>2</v>
      </c>
      <c r="K3" s="3" t="n"/>
      <c r="M3" t="n">
        <v>2</v>
      </c>
      <c r="N3" s="3" t="n"/>
      <c r="P3" t="n">
        <v>2</v>
      </c>
      <c r="Q3" s="3" t="n"/>
      <c r="S3" t="n">
        <v>2</v>
      </c>
      <c r="T3" s="3" t="n"/>
      <c r="V3" t="n">
        <v>2</v>
      </c>
      <c r="W3" s="3" t="n"/>
      <c r="Y3" t="n">
        <v>2</v>
      </c>
      <c r="Z3" s="3" t="n"/>
      <c r="AB3" t="n">
        <v>2</v>
      </c>
      <c r="AC3" s="3" t="n"/>
      <c r="AE3" t="n">
        <v>2</v>
      </c>
      <c r="AF3" s="3" t="n"/>
      <c r="AH3" t="n">
        <v>2</v>
      </c>
      <c r="AI3" s="3" t="n"/>
    </row>
    <row r="4">
      <c r="A4" t="n">
        <v>3</v>
      </c>
      <c r="D4" t="n">
        <v>3</v>
      </c>
      <c r="E4" s="3" t="n"/>
      <c r="G4" t="n">
        <v>3</v>
      </c>
      <c r="H4" s="3" t="n"/>
      <c r="J4" t="n">
        <v>3</v>
      </c>
      <c r="K4" s="3" t="n"/>
      <c r="M4" t="n">
        <v>3</v>
      </c>
      <c r="N4" s="3" t="n"/>
      <c r="P4" t="n">
        <v>3</v>
      </c>
      <c r="Q4" s="3" t="n"/>
      <c r="S4" t="n">
        <v>3</v>
      </c>
      <c r="T4" s="3" t="n"/>
      <c r="V4" t="n">
        <v>3</v>
      </c>
      <c r="W4" s="3" t="n"/>
      <c r="Y4" t="n">
        <v>3</v>
      </c>
      <c r="Z4" s="3" t="n"/>
      <c r="AB4" t="n">
        <v>3</v>
      </c>
      <c r="AC4" s="3" t="n"/>
      <c r="AE4" t="n">
        <v>3</v>
      </c>
      <c r="AF4" s="3" t="n"/>
      <c r="AH4" t="n">
        <v>3</v>
      </c>
      <c r="AI4" s="3" t="n"/>
    </row>
    <row r="5">
      <c r="A5" t="n">
        <v>4</v>
      </c>
      <c r="D5" t="n">
        <v>4</v>
      </c>
      <c r="E5" s="3" t="n"/>
      <c r="G5" t="n">
        <v>4</v>
      </c>
      <c r="H5" s="3" t="n"/>
      <c r="J5" t="n">
        <v>4</v>
      </c>
      <c r="K5" s="3" t="n"/>
      <c r="M5" t="n">
        <v>4</v>
      </c>
      <c r="N5" s="3" t="n"/>
      <c r="P5" t="n">
        <v>4</v>
      </c>
      <c r="Q5" s="3" t="n"/>
      <c r="S5" t="n">
        <v>4</v>
      </c>
      <c r="T5" s="3" t="n"/>
      <c r="V5" t="n">
        <v>4</v>
      </c>
      <c r="W5" s="3" t="n"/>
      <c r="Y5" t="n">
        <v>4</v>
      </c>
      <c r="Z5" s="3" t="n"/>
      <c r="AB5" t="n">
        <v>4</v>
      </c>
      <c r="AC5" s="3" t="n"/>
      <c r="AE5" t="n">
        <v>4</v>
      </c>
      <c r="AF5" s="3" t="n"/>
      <c r="AH5" t="n">
        <v>4</v>
      </c>
      <c r="AI5" s="3" t="n"/>
    </row>
    <row r="6">
      <c r="A6" t="n">
        <v>5</v>
      </c>
      <c r="D6" t="n">
        <v>5</v>
      </c>
      <c r="E6" s="3" t="n"/>
      <c r="G6" t="n">
        <v>5</v>
      </c>
      <c r="H6" s="3" t="n"/>
      <c r="J6" t="n">
        <v>5</v>
      </c>
      <c r="K6" s="3" t="n"/>
      <c r="M6" t="n">
        <v>5</v>
      </c>
      <c r="N6" s="3" t="n"/>
      <c r="P6" t="n">
        <v>5</v>
      </c>
      <c r="Q6" s="3" t="n"/>
      <c r="S6" t="n">
        <v>5</v>
      </c>
      <c r="T6" s="3" t="n"/>
      <c r="V6" t="n">
        <v>5</v>
      </c>
      <c r="W6" s="3" t="n"/>
      <c r="Y6" t="n">
        <v>5</v>
      </c>
      <c r="Z6" s="3" t="n"/>
      <c r="AB6" t="n">
        <v>5</v>
      </c>
      <c r="AC6" s="3" t="n"/>
      <c r="AE6" t="n">
        <v>5</v>
      </c>
      <c r="AF6" s="3" t="n"/>
      <c r="AH6" t="n">
        <v>5</v>
      </c>
      <c r="AI6" s="3" t="n"/>
    </row>
    <row r="7">
      <c r="A7" t="n">
        <v>6</v>
      </c>
      <c r="D7" t="n">
        <v>6</v>
      </c>
      <c r="E7" s="3" t="n"/>
      <c r="G7" t="n">
        <v>6</v>
      </c>
      <c r="H7" s="3" t="n"/>
      <c r="J7" t="n">
        <v>6</v>
      </c>
      <c r="K7" s="3" t="n"/>
      <c r="M7" t="n">
        <v>6</v>
      </c>
      <c r="N7" s="3" t="n"/>
      <c r="P7" t="n">
        <v>6</v>
      </c>
      <c r="Q7" s="3" t="n"/>
      <c r="S7" t="n">
        <v>6</v>
      </c>
      <c r="T7" s="3" t="n"/>
      <c r="V7" t="n">
        <v>6</v>
      </c>
      <c r="W7" s="3" t="n"/>
      <c r="Y7" t="n">
        <v>6</v>
      </c>
      <c r="Z7" s="3" t="n"/>
      <c r="AB7" t="n">
        <v>6</v>
      </c>
      <c r="AC7" s="3" t="n"/>
      <c r="AE7" t="n">
        <v>6</v>
      </c>
      <c r="AF7" s="3" t="n"/>
      <c r="AH7" t="n">
        <v>6</v>
      </c>
      <c r="AI7" s="3" t="n"/>
    </row>
    <row r="8">
      <c r="A8" t="n">
        <v>7</v>
      </c>
      <c r="D8" t="n">
        <v>7</v>
      </c>
      <c r="E8" s="3" t="n"/>
      <c r="G8" t="n">
        <v>7</v>
      </c>
      <c r="H8" s="3" t="n"/>
      <c r="J8" t="n">
        <v>7</v>
      </c>
      <c r="K8" s="3" t="n"/>
      <c r="M8" t="n">
        <v>7</v>
      </c>
      <c r="N8" s="3" t="n"/>
      <c r="P8" t="n">
        <v>7</v>
      </c>
      <c r="Q8" s="3" t="n"/>
      <c r="S8" t="n">
        <v>7</v>
      </c>
      <c r="T8" s="3" t="n"/>
      <c r="V8" t="n">
        <v>7</v>
      </c>
      <c r="W8" s="3" t="n"/>
      <c r="Y8" t="n">
        <v>7</v>
      </c>
      <c r="Z8" s="3" t="n"/>
      <c r="AB8" t="n">
        <v>7</v>
      </c>
      <c r="AC8" s="3" t="n"/>
      <c r="AE8" t="n">
        <v>7</v>
      </c>
      <c r="AF8" s="3" t="n"/>
      <c r="AH8" t="n">
        <v>7</v>
      </c>
      <c r="AI8" s="3" t="n"/>
    </row>
    <row r="9">
      <c r="A9" t="n">
        <v>8</v>
      </c>
      <c r="D9" t="n">
        <v>8</v>
      </c>
      <c r="E9" s="3" t="n"/>
      <c r="G9" t="n">
        <v>8</v>
      </c>
      <c r="H9" s="3" t="n"/>
      <c r="J9" t="n">
        <v>8</v>
      </c>
      <c r="K9" s="3" t="n"/>
      <c r="M9" t="n">
        <v>8</v>
      </c>
      <c r="N9" s="3" t="n"/>
      <c r="P9" t="n">
        <v>8</v>
      </c>
      <c r="Q9" s="3" t="n"/>
      <c r="S9" t="n">
        <v>8</v>
      </c>
      <c r="T9" s="3" t="n"/>
      <c r="V9" t="n">
        <v>8</v>
      </c>
      <c r="W9" s="3" t="n"/>
      <c r="Y9" t="n">
        <v>8</v>
      </c>
      <c r="Z9" s="3" t="n"/>
      <c r="AB9" t="n">
        <v>8</v>
      </c>
      <c r="AC9" s="3" t="n"/>
      <c r="AE9" t="n">
        <v>8</v>
      </c>
      <c r="AF9" s="3" t="n"/>
      <c r="AH9" t="n">
        <v>8</v>
      </c>
      <c r="AI9" s="3" t="n"/>
    </row>
    <row r="10">
      <c r="A10" t="n">
        <v>9</v>
      </c>
      <c r="D10" t="n">
        <v>9</v>
      </c>
      <c r="E10" s="3" t="n"/>
      <c r="G10" t="n">
        <v>9</v>
      </c>
      <c r="H10" s="3" t="n"/>
      <c r="J10" t="n">
        <v>9</v>
      </c>
      <c r="K10" s="3" t="n"/>
      <c r="M10" t="n">
        <v>9</v>
      </c>
      <c r="N10" s="3" t="n"/>
      <c r="P10" t="n">
        <v>9</v>
      </c>
      <c r="Q10" s="3" t="n"/>
      <c r="S10" t="n">
        <v>9</v>
      </c>
      <c r="T10" s="3" t="n"/>
      <c r="V10" t="n">
        <v>9</v>
      </c>
      <c r="W10" s="3" t="n"/>
      <c r="Y10" t="n">
        <v>9</v>
      </c>
      <c r="Z10" s="3" t="n"/>
      <c r="AB10" t="n">
        <v>9</v>
      </c>
      <c r="AC10" s="3" t="n"/>
      <c r="AE10" t="n">
        <v>9</v>
      </c>
      <c r="AF10" s="3" t="n"/>
      <c r="AH10" t="n">
        <v>9</v>
      </c>
      <c r="AI10" s="3" t="n"/>
    </row>
    <row r="11">
      <c r="A11" t="n">
        <v>10</v>
      </c>
      <c r="D11" t="n">
        <v>10</v>
      </c>
      <c r="E11" s="3" t="n"/>
      <c r="G11" t="n">
        <v>10</v>
      </c>
      <c r="H11" s="3" t="n"/>
      <c r="J11" t="n">
        <v>10</v>
      </c>
      <c r="K11" s="3" t="n"/>
      <c r="M11" t="n">
        <v>10</v>
      </c>
      <c r="N11" s="3" t="n"/>
      <c r="P11" t="n">
        <v>10</v>
      </c>
      <c r="Q11" s="3" t="n"/>
      <c r="S11" t="n">
        <v>10</v>
      </c>
      <c r="T11" s="3" t="n"/>
      <c r="V11" t="n">
        <v>10</v>
      </c>
      <c r="W11" s="3" t="n"/>
      <c r="Y11" t="n">
        <v>10</v>
      </c>
      <c r="Z11" s="3" t="n"/>
      <c r="AB11" t="n">
        <v>10</v>
      </c>
      <c r="AC11" s="3" t="n"/>
      <c r="AE11" t="n">
        <v>10</v>
      </c>
      <c r="AF11" s="3" t="n"/>
      <c r="AH11" t="n">
        <v>10</v>
      </c>
      <c r="AI11" s="3" t="n"/>
    </row>
    <row r="12">
      <c r="A12" t="n">
        <v>11</v>
      </c>
      <c r="D12" t="n">
        <v>11</v>
      </c>
      <c r="E12" s="3" t="n"/>
      <c r="G12" t="n">
        <v>11</v>
      </c>
      <c r="H12" s="3" t="n"/>
      <c r="J12" t="n">
        <v>11</v>
      </c>
      <c r="K12" s="3" t="n"/>
      <c r="M12" t="n">
        <v>11</v>
      </c>
      <c r="N12" s="3" t="n"/>
      <c r="P12" t="n">
        <v>11</v>
      </c>
      <c r="Q12" s="3" t="n"/>
      <c r="S12" t="n">
        <v>11</v>
      </c>
      <c r="T12" s="3" t="n"/>
      <c r="V12" t="n">
        <v>11</v>
      </c>
      <c r="W12" s="3" t="n"/>
      <c r="Y12" t="n">
        <v>11</v>
      </c>
      <c r="Z12" s="3" t="n"/>
      <c r="AB12" t="n">
        <v>11</v>
      </c>
      <c r="AC12" s="3" t="n"/>
      <c r="AE12" t="n">
        <v>11</v>
      </c>
      <c r="AF12" s="3" t="n"/>
      <c r="AH12" t="n">
        <v>11</v>
      </c>
      <c r="AI12" s="3" t="n"/>
    </row>
    <row r="13">
      <c r="A13" t="n">
        <v>12</v>
      </c>
      <c r="D13" t="n">
        <v>12</v>
      </c>
      <c r="E13" s="3" t="n"/>
      <c r="G13" t="n">
        <v>12</v>
      </c>
      <c r="H13" s="3" t="n"/>
      <c r="J13" t="n">
        <v>12</v>
      </c>
      <c r="K13" s="3" t="n"/>
      <c r="M13" t="n">
        <v>12</v>
      </c>
      <c r="N13" s="3" t="n"/>
      <c r="P13" t="n">
        <v>12</v>
      </c>
      <c r="Q13" s="3" t="n"/>
      <c r="S13" t="n">
        <v>12</v>
      </c>
      <c r="T13" s="3" t="n"/>
      <c r="V13" t="n">
        <v>12</v>
      </c>
      <c r="W13" s="3" t="n"/>
      <c r="Y13" t="n">
        <v>12</v>
      </c>
      <c r="Z13" s="3" t="n"/>
      <c r="AB13" t="n">
        <v>12</v>
      </c>
      <c r="AC13" s="3" t="n"/>
      <c r="AE13" t="n">
        <v>12</v>
      </c>
      <c r="AF13" s="3" t="n"/>
      <c r="AH13" t="n">
        <v>12</v>
      </c>
      <c r="AI13" s="3" t="n"/>
    </row>
    <row r="14">
      <c r="A14" t="n">
        <v>13</v>
      </c>
      <c r="D14" t="n">
        <v>13</v>
      </c>
      <c r="E14" s="3" t="n"/>
      <c r="G14" t="n">
        <v>13</v>
      </c>
      <c r="H14" s="3" t="n"/>
      <c r="J14" t="n">
        <v>13</v>
      </c>
      <c r="K14" s="3" t="n"/>
      <c r="M14" t="n">
        <v>13</v>
      </c>
      <c r="N14" s="3" t="n"/>
      <c r="P14" t="n">
        <v>13</v>
      </c>
      <c r="Q14" s="3" t="n"/>
      <c r="S14" t="n">
        <v>13</v>
      </c>
      <c r="T14" s="3" t="n"/>
      <c r="V14" t="n">
        <v>13</v>
      </c>
      <c r="W14" s="3" t="n"/>
      <c r="Y14" t="n">
        <v>13</v>
      </c>
      <c r="Z14" s="3" t="n"/>
      <c r="AB14" t="n">
        <v>13</v>
      </c>
      <c r="AC14" s="3" t="n"/>
      <c r="AE14" t="n">
        <v>13</v>
      </c>
      <c r="AF14" s="3" t="n"/>
      <c r="AH14" t="n">
        <v>13</v>
      </c>
      <c r="AI14" s="3" t="n"/>
    </row>
    <row r="15">
      <c r="A15" t="n">
        <v>14</v>
      </c>
      <c r="D15" t="n">
        <v>14</v>
      </c>
      <c r="E15" s="3" t="n"/>
      <c r="G15" t="n">
        <v>14</v>
      </c>
      <c r="H15" s="3" t="n"/>
      <c r="J15" t="n">
        <v>14</v>
      </c>
      <c r="K15" s="3" t="n"/>
      <c r="M15" t="n">
        <v>14</v>
      </c>
      <c r="N15" s="3" t="n"/>
      <c r="P15" t="n">
        <v>14</v>
      </c>
      <c r="Q15" s="3" t="n"/>
      <c r="S15" t="n">
        <v>14</v>
      </c>
      <c r="T15" s="3" t="n"/>
      <c r="V15" t="n">
        <v>14</v>
      </c>
      <c r="W15" s="3" t="n"/>
      <c r="Y15" t="n">
        <v>14</v>
      </c>
      <c r="Z15" s="3" t="n"/>
      <c r="AB15" t="n">
        <v>14</v>
      </c>
      <c r="AC15" s="3" t="n"/>
      <c r="AE15" t="n">
        <v>14</v>
      </c>
      <c r="AF15" s="3" t="n"/>
      <c r="AH15" t="n">
        <v>14</v>
      </c>
      <c r="AI15" s="3" t="n"/>
    </row>
    <row r="16">
      <c r="A16" t="n">
        <v>15</v>
      </c>
      <c r="D16" t="n">
        <v>15</v>
      </c>
      <c r="E16" s="3" t="n"/>
      <c r="G16" t="n">
        <v>15</v>
      </c>
      <c r="H16" s="3" t="n"/>
      <c r="J16" t="n">
        <v>15</v>
      </c>
      <c r="K16" s="3" t="n"/>
      <c r="M16" t="n">
        <v>15</v>
      </c>
      <c r="N16" s="3" t="n"/>
      <c r="P16" t="n">
        <v>15</v>
      </c>
      <c r="Q16" s="3" t="n"/>
      <c r="S16" t="n">
        <v>15</v>
      </c>
      <c r="T16" s="3" t="n"/>
      <c r="V16" t="n">
        <v>15</v>
      </c>
      <c r="W16" s="3" t="n"/>
      <c r="Y16" t="n">
        <v>15</v>
      </c>
      <c r="Z16" s="3" t="n"/>
      <c r="AB16" t="n">
        <v>15</v>
      </c>
      <c r="AC16" s="3" t="n"/>
      <c r="AE16" t="n">
        <v>15</v>
      </c>
      <c r="AF16" s="3" t="n"/>
      <c r="AH16" t="n">
        <v>15</v>
      </c>
      <c r="AI16" s="3" t="n"/>
    </row>
    <row r="17">
      <c r="A17" t="n">
        <v>16</v>
      </c>
      <c r="D17" t="n">
        <v>16</v>
      </c>
      <c r="E17" s="3" t="n"/>
      <c r="G17" t="n">
        <v>16</v>
      </c>
      <c r="H17" s="3" t="n"/>
      <c r="J17" t="n">
        <v>16</v>
      </c>
      <c r="K17" s="3" t="n"/>
      <c r="M17" t="n">
        <v>16</v>
      </c>
      <c r="N17" s="3" t="n"/>
      <c r="P17" t="n">
        <v>16</v>
      </c>
      <c r="Q17" s="3" t="n"/>
      <c r="S17" t="n">
        <v>16</v>
      </c>
      <c r="T17" s="3" t="n"/>
      <c r="V17" t="n">
        <v>16</v>
      </c>
      <c r="W17" s="3" t="n"/>
      <c r="Y17" t="n">
        <v>16</v>
      </c>
      <c r="Z17" s="3" t="n"/>
      <c r="AB17" t="n">
        <v>16</v>
      </c>
      <c r="AC17" s="3" t="n"/>
      <c r="AE17" t="n">
        <v>16</v>
      </c>
      <c r="AF17" s="3" t="n"/>
      <c r="AH17" t="n">
        <v>16</v>
      </c>
      <c r="AI17" s="3" t="n"/>
    </row>
    <row r="18">
      <c r="A18" t="n">
        <v>17</v>
      </c>
      <c r="D18" t="n">
        <v>17</v>
      </c>
      <c r="E18" s="3" t="n"/>
      <c r="G18" t="n">
        <v>17</v>
      </c>
      <c r="H18" s="3" t="n"/>
      <c r="J18" t="n">
        <v>17</v>
      </c>
      <c r="K18" s="3" t="n"/>
      <c r="M18" t="n">
        <v>17</v>
      </c>
      <c r="N18" s="3" t="n"/>
      <c r="P18" t="n">
        <v>17</v>
      </c>
      <c r="Q18" s="3" t="n"/>
      <c r="S18" t="n">
        <v>17</v>
      </c>
      <c r="T18" s="3" t="n"/>
      <c r="V18" t="n">
        <v>17</v>
      </c>
      <c r="W18" s="3" t="n"/>
      <c r="Y18" t="n">
        <v>17</v>
      </c>
      <c r="Z18" s="3" t="n"/>
      <c r="AB18" t="n">
        <v>17</v>
      </c>
      <c r="AC18" s="3" t="n"/>
      <c r="AE18" t="n">
        <v>17</v>
      </c>
      <c r="AF18" s="3" t="n"/>
      <c r="AH18" t="n">
        <v>17</v>
      </c>
      <c r="AI18" s="3" t="n"/>
    </row>
    <row r="19">
      <c r="A19" t="n">
        <v>18</v>
      </c>
      <c r="D19" t="n">
        <v>18</v>
      </c>
      <c r="E19" s="3" t="n"/>
      <c r="G19" t="n">
        <v>18</v>
      </c>
      <c r="H19" s="3">
        <f>605+1425+2110</f>
        <v/>
      </c>
      <c r="J19" t="n">
        <v>18</v>
      </c>
      <c r="K19" s="3" t="n"/>
      <c r="M19" t="n">
        <v>18</v>
      </c>
      <c r="N19" s="3" t="n"/>
      <c r="P19" t="n">
        <v>18</v>
      </c>
      <c r="Q19" s="3" t="n"/>
      <c r="S19" t="n">
        <v>18</v>
      </c>
      <c r="T19" s="3" t="n"/>
      <c r="V19" t="n">
        <v>18</v>
      </c>
      <c r="W19" s="3" t="n"/>
      <c r="Y19" t="n">
        <v>18</v>
      </c>
      <c r="Z19" s="3" t="n"/>
      <c r="AB19" t="n">
        <v>18</v>
      </c>
      <c r="AC19" s="3" t="n"/>
      <c r="AE19" t="n">
        <v>18</v>
      </c>
      <c r="AF19" s="3" t="n"/>
      <c r="AH19" t="n">
        <v>18</v>
      </c>
      <c r="AI19" s="3" t="n"/>
    </row>
    <row r="20">
      <c r="A20" t="n">
        <v>19</v>
      </c>
      <c r="D20" t="n">
        <v>19</v>
      </c>
      <c r="E20" s="3" t="n"/>
      <c r="G20" t="n">
        <v>19</v>
      </c>
      <c r="H20" s="3" t="n"/>
      <c r="J20" t="n">
        <v>19</v>
      </c>
      <c r="K20" s="3" t="n"/>
      <c r="M20" t="n">
        <v>19</v>
      </c>
      <c r="N20" s="3" t="n"/>
      <c r="P20" t="n">
        <v>19</v>
      </c>
      <c r="Q20" s="3" t="n"/>
      <c r="S20" t="n">
        <v>19</v>
      </c>
      <c r="T20" s="3" t="n"/>
      <c r="V20" t="n">
        <v>19</v>
      </c>
      <c r="W20" s="3" t="n"/>
      <c r="Y20" t="n">
        <v>19</v>
      </c>
      <c r="Z20" s="3" t="n"/>
      <c r="AB20" t="n">
        <v>19</v>
      </c>
      <c r="AC20" s="3" t="n"/>
      <c r="AE20" t="n">
        <v>19</v>
      </c>
      <c r="AF20" s="3" t="n"/>
      <c r="AH20" t="n">
        <v>19</v>
      </c>
      <c r="AI20" s="3" t="n"/>
    </row>
    <row r="21">
      <c r="A21" t="n">
        <v>20</v>
      </c>
      <c r="D21" t="n">
        <v>20</v>
      </c>
      <c r="E21" s="3" t="n"/>
      <c r="G21" t="n">
        <v>20</v>
      </c>
      <c r="H21" s="3" t="n"/>
      <c r="J21" t="n">
        <v>20</v>
      </c>
      <c r="K21" s="3" t="n"/>
      <c r="M21" t="n">
        <v>20</v>
      </c>
      <c r="N21" s="3" t="n"/>
      <c r="P21" t="n">
        <v>20</v>
      </c>
      <c r="Q21" s="3" t="n"/>
      <c r="S21" t="n">
        <v>20</v>
      </c>
      <c r="T21" s="3" t="n"/>
      <c r="V21" t="n">
        <v>20</v>
      </c>
      <c r="W21" s="3" t="n"/>
      <c r="Y21" t="n">
        <v>20</v>
      </c>
      <c r="Z21" s="3" t="n"/>
      <c r="AB21" t="n">
        <v>20</v>
      </c>
      <c r="AC21" s="3" t="n"/>
      <c r="AE21" t="n">
        <v>20</v>
      </c>
      <c r="AF21" s="3" t="n"/>
      <c r="AH21" t="n">
        <v>20</v>
      </c>
      <c r="AI21" s="3" t="n"/>
    </row>
    <row r="22">
      <c r="A22" t="n">
        <v>21</v>
      </c>
      <c r="D22" t="n">
        <v>21</v>
      </c>
      <c r="E22" s="3" t="n"/>
      <c r="G22" t="n">
        <v>21</v>
      </c>
      <c r="H22" s="3" t="n"/>
      <c r="J22" t="n">
        <v>21</v>
      </c>
      <c r="K22" s="3" t="n"/>
      <c r="M22" t="n">
        <v>21</v>
      </c>
      <c r="N22" s="3" t="n"/>
      <c r="P22" t="n">
        <v>21</v>
      </c>
      <c r="Q22" s="3" t="n"/>
      <c r="S22" t="n">
        <v>21</v>
      </c>
      <c r="T22" s="3" t="n"/>
      <c r="V22" t="n">
        <v>21</v>
      </c>
      <c r="W22" s="3" t="n"/>
      <c r="Y22" t="n">
        <v>21</v>
      </c>
      <c r="Z22" s="3" t="n"/>
      <c r="AB22" t="n">
        <v>21</v>
      </c>
      <c r="AC22" s="3" t="n"/>
      <c r="AE22" t="n">
        <v>21</v>
      </c>
      <c r="AF22" s="3" t="n"/>
      <c r="AH22" t="n">
        <v>21</v>
      </c>
      <c r="AI22" s="3" t="n"/>
    </row>
    <row r="23">
      <c r="A23" t="n">
        <v>22</v>
      </c>
      <c r="D23" t="n">
        <v>22</v>
      </c>
      <c r="E23" s="3" t="n"/>
      <c r="G23" t="n">
        <v>22</v>
      </c>
      <c r="H23" s="3" t="n"/>
      <c r="J23" t="n">
        <v>22</v>
      </c>
      <c r="K23" s="3" t="n"/>
      <c r="M23" t="n">
        <v>22</v>
      </c>
      <c r="N23" s="3" t="n"/>
      <c r="P23" t="n">
        <v>22</v>
      </c>
      <c r="Q23" s="3" t="n"/>
      <c r="S23" t="n">
        <v>22</v>
      </c>
      <c r="T23" s="3" t="n"/>
      <c r="V23" t="n">
        <v>22</v>
      </c>
      <c r="W23" s="3" t="n"/>
      <c r="Y23" t="n">
        <v>22</v>
      </c>
      <c r="Z23" s="3" t="n"/>
      <c r="AB23" t="n">
        <v>22</v>
      </c>
      <c r="AC23" s="3" t="n"/>
      <c r="AE23" t="n">
        <v>22</v>
      </c>
      <c r="AF23" s="3" t="n"/>
      <c r="AH23" t="n">
        <v>22</v>
      </c>
      <c r="AI23" s="3" t="n"/>
    </row>
    <row r="24">
      <c r="A24" t="n">
        <v>23</v>
      </c>
      <c r="D24" t="n">
        <v>23</v>
      </c>
      <c r="E24" s="3" t="n"/>
      <c r="G24" t="n">
        <v>23</v>
      </c>
      <c r="H24" s="3" t="n"/>
      <c r="J24" t="n">
        <v>23</v>
      </c>
      <c r="K24" s="3" t="n"/>
      <c r="M24" t="n">
        <v>23</v>
      </c>
      <c r="N24" s="3" t="n"/>
      <c r="P24" t="n">
        <v>23</v>
      </c>
      <c r="Q24" s="3" t="n"/>
      <c r="S24" t="n">
        <v>23</v>
      </c>
      <c r="T24" s="3" t="n"/>
      <c r="V24" t="n">
        <v>23</v>
      </c>
      <c r="W24" s="3" t="n"/>
      <c r="Y24" t="n">
        <v>23</v>
      </c>
      <c r="Z24" s="3" t="n"/>
      <c r="AB24" t="n">
        <v>23</v>
      </c>
      <c r="AC24" s="3" t="n"/>
      <c r="AE24" t="n">
        <v>23</v>
      </c>
      <c r="AF24" s="3" t="n"/>
      <c r="AH24" t="n">
        <v>23</v>
      </c>
      <c r="AI24" s="3" t="n"/>
    </row>
    <row r="25">
      <c r="A25" t="n">
        <v>24</v>
      </c>
      <c r="D25" t="n">
        <v>24</v>
      </c>
      <c r="E25" s="3" t="n"/>
      <c r="G25" t="n">
        <v>24</v>
      </c>
      <c r="H25" s="3" t="n"/>
      <c r="J25" t="n">
        <v>24</v>
      </c>
      <c r="K25" s="3" t="n"/>
      <c r="M25" t="n">
        <v>24</v>
      </c>
      <c r="N25" s="3" t="n"/>
      <c r="P25" t="n">
        <v>24</v>
      </c>
      <c r="Q25" s="3" t="n"/>
      <c r="S25" t="n">
        <v>24</v>
      </c>
      <c r="T25" s="3" t="n"/>
      <c r="V25" t="n">
        <v>24</v>
      </c>
      <c r="W25" s="3" t="n"/>
      <c r="Y25" t="n">
        <v>24</v>
      </c>
      <c r="Z25" s="3" t="n"/>
      <c r="AB25" t="n">
        <v>24</v>
      </c>
      <c r="AC25" s="3" t="n"/>
      <c r="AE25" t="n">
        <v>24</v>
      </c>
      <c r="AF25" s="3" t="n"/>
      <c r="AH25" t="n">
        <v>24</v>
      </c>
      <c r="AI25" s="3" t="n"/>
    </row>
    <row r="26">
      <c r="A26" t="n">
        <v>25</v>
      </c>
      <c r="D26" t="n">
        <v>25</v>
      </c>
      <c r="E26" s="3" t="n"/>
      <c r="G26" t="n">
        <v>25</v>
      </c>
      <c r="H26" s="3" t="n"/>
      <c r="J26" t="n">
        <v>25</v>
      </c>
      <c r="K26" s="3" t="n"/>
      <c r="M26" t="n">
        <v>25</v>
      </c>
      <c r="N26" s="3" t="n"/>
      <c r="P26" t="n">
        <v>25</v>
      </c>
      <c r="Q26" s="3" t="n"/>
      <c r="S26" t="n">
        <v>25</v>
      </c>
      <c r="T26" s="3" t="n"/>
      <c r="V26" t="n">
        <v>25</v>
      </c>
      <c r="W26" s="3" t="n"/>
      <c r="Y26" t="n">
        <v>25</v>
      </c>
      <c r="Z26" s="3" t="n"/>
      <c r="AB26" t="n">
        <v>25</v>
      </c>
      <c r="AC26" s="3" t="n"/>
      <c r="AE26" t="n">
        <v>25</v>
      </c>
      <c r="AF26" s="3" t="n"/>
      <c r="AH26" t="n">
        <v>25</v>
      </c>
      <c r="AI26" s="3" t="n"/>
    </row>
    <row r="27">
      <c r="A27" t="n">
        <v>26</v>
      </c>
      <c r="D27" t="n">
        <v>26</v>
      </c>
      <c r="E27" s="3" t="n"/>
      <c r="G27" t="n">
        <v>26</v>
      </c>
      <c r="H27" s="3" t="n"/>
      <c r="J27" t="n">
        <v>26</v>
      </c>
      <c r="K27" s="3" t="n"/>
      <c r="M27" t="n">
        <v>26</v>
      </c>
      <c r="N27" s="3" t="n"/>
      <c r="P27" t="n">
        <v>26</v>
      </c>
      <c r="Q27" s="3" t="n"/>
      <c r="S27" t="n">
        <v>26</v>
      </c>
      <c r="T27" s="3" t="n"/>
      <c r="V27" t="n">
        <v>26</v>
      </c>
      <c r="W27" s="3" t="n"/>
      <c r="Y27" t="n">
        <v>26</v>
      </c>
      <c r="Z27" s="3" t="n"/>
      <c r="AB27" t="n">
        <v>26</v>
      </c>
      <c r="AC27" s="3" t="n"/>
      <c r="AE27" t="n">
        <v>26</v>
      </c>
      <c r="AF27" s="3" t="n"/>
      <c r="AH27" t="n">
        <v>26</v>
      </c>
      <c r="AI27" s="3" t="n"/>
    </row>
    <row r="28">
      <c r="A28" t="n">
        <v>27</v>
      </c>
      <c r="D28" t="n">
        <v>27</v>
      </c>
      <c r="E28" s="3" t="n"/>
      <c r="G28" t="n">
        <v>27</v>
      </c>
      <c r="H28" s="3" t="n"/>
      <c r="J28" t="n">
        <v>27</v>
      </c>
      <c r="K28" s="3" t="n"/>
      <c r="M28" t="n">
        <v>27</v>
      </c>
      <c r="N28" s="3" t="n"/>
      <c r="P28" t="n">
        <v>27</v>
      </c>
      <c r="Q28" s="3" t="n"/>
      <c r="S28" t="n">
        <v>27</v>
      </c>
      <c r="T28" s="3" t="n"/>
      <c r="V28" t="n">
        <v>27</v>
      </c>
      <c r="W28" s="3" t="n"/>
      <c r="Y28" t="n">
        <v>27</v>
      </c>
      <c r="Z28" s="3" t="n"/>
      <c r="AB28" t="n">
        <v>27</v>
      </c>
      <c r="AC28" s="3" t="n"/>
      <c r="AE28" t="n">
        <v>27</v>
      </c>
      <c r="AF28" s="3" t="n"/>
      <c r="AH28" t="n">
        <v>27</v>
      </c>
      <c r="AI28" s="3" t="n"/>
    </row>
    <row r="29">
      <c r="A29" t="n">
        <v>28</v>
      </c>
      <c r="D29" t="n">
        <v>28</v>
      </c>
      <c r="E29" s="3" t="n"/>
      <c r="G29" t="n">
        <v>28</v>
      </c>
      <c r="H29" s="3" t="n"/>
      <c r="J29" t="n">
        <v>28</v>
      </c>
      <c r="K29" s="3" t="n"/>
      <c r="M29" t="n">
        <v>28</v>
      </c>
      <c r="N29" s="3" t="n"/>
      <c r="P29" t="n">
        <v>28</v>
      </c>
      <c r="Q29" s="3" t="n"/>
      <c r="S29" t="n">
        <v>28</v>
      </c>
      <c r="T29" s="3" t="n"/>
      <c r="V29" t="n">
        <v>28</v>
      </c>
      <c r="W29" s="3" t="n"/>
      <c r="Y29" t="n">
        <v>28</v>
      </c>
      <c r="Z29" s="3" t="n"/>
      <c r="AB29" t="n">
        <v>28</v>
      </c>
      <c r="AC29" s="3" t="n"/>
      <c r="AE29" t="n">
        <v>28</v>
      </c>
      <c r="AF29" s="3" t="n"/>
      <c r="AH29" t="n">
        <v>28</v>
      </c>
      <c r="AI29" s="3" t="n"/>
    </row>
    <row r="30">
      <c r="A30" t="n">
        <v>29</v>
      </c>
      <c r="D30" t="n">
        <v>29</v>
      </c>
      <c r="E30" s="3" t="n"/>
      <c r="G30" t="n">
        <v>29</v>
      </c>
      <c r="H30" s="3" t="n"/>
      <c r="J30" t="n">
        <v>29</v>
      </c>
      <c r="K30" s="3" t="n"/>
      <c r="M30" t="n">
        <v>29</v>
      </c>
      <c r="N30" s="3" t="n"/>
      <c r="P30" t="n">
        <v>29</v>
      </c>
      <c r="Q30" s="3" t="n"/>
      <c r="S30" t="n">
        <v>29</v>
      </c>
      <c r="T30" s="3" t="n"/>
      <c r="V30" t="n">
        <v>29</v>
      </c>
      <c r="W30" s="3" t="n"/>
      <c r="Y30" t="n">
        <v>29</v>
      </c>
      <c r="Z30" s="3" t="n"/>
      <c r="AB30" t="n">
        <v>29</v>
      </c>
      <c r="AC30" s="3" t="n"/>
      <c r="AE30" t="n">
        <v>29</v>
      </c>
      <c r="AF30" s="3" t="n"/>
      <c r="AH30" t="n">
        <v>29</v>
      </c>
      <c r="AI30" s="3" t="n"/>
    </row>
    <row r="31">
      <c r="A31" t="n">
        <v>30</v>
      </c>
      <c r="D31" t="n">
        <v>30</v>
      </c>
      <c r="E31" s="3" t="n"/>
      <c r="G31" t="n">
        <v>30</v>
      </c>
      <c r="H31" s="3" t="n"/>
      <c r="J31" t="n">
        <v>30</v>
      </c>
      <c r="K31" s="3" t="n"/>
      <c r="M31" t="n">
        <v>30</v>
      </c>
      <c r="N31" s="3" t="n"/>
      <c r="P31" t="n">
        <v>30</v>
      </c>
      <c r="S31" t="n">
        <v>30</v>
      </c>
      <c r="V31" t="n">
        <v>30</v>
      </c>
      <c r="Y31" t="n">
        <v>30</v>
      </c>
      <c r="AB31" t="n">
        <v>30</v>
      </c>
      <c r="AC31" s="3" t="n"/>
      <c r="AE31" t="n">
        <v>30</v>
      </c>
      <c r="AF31" s="3" t="n"/>
      <c r="AH31" t="n">
        <v>30</v>
      </c>
      <c r="AI31" s="3" t="n"/>
    </row>
    <row r="32">
      <c r="A32" t="n">
        <v>31</v>
      </c>
      <c r="D32" t="n">
        <v>31</v>
      </c>
      <c r="E32" s="3" t="n"/>
      <c r="G32" t="n">
        <v>31</v>
      </c>
      <c r="H32" s="3" t="n"/>
      <c r="J32" t="n">
        <v>31</v>
      </c>
      <c r="K32" s="3" t="n"/>
      <c r="M32" t="n">
        <v>31</v>
      </c>
      <c r="N32" s="3" t="n"/>
      <c r="P32" t="n">
        <v>31</v>
      </c>
      <c r="S32" t="n">
        <v>31</v>
      </c>
      <c r="V32" t="n">
        <v>31</v>
      </c>
      <c r="Y32" t="n">
        <v>31</v>
      </c>
      <c r="AB32" t="n">
        <v>31</v>
      </c>
      <c r="AC32" s="3" t="n"/>
      <c r="AE32" t="n">
        <v>31</v>
      </c>
      <c r="AF32" s="3" t="n"/>
      <c r="AH32" t="n">
        <v>31</v>
      </c>
      <c r="AI32" s="3" t="n"/>
    </row>
    <row r="33">
      <c r="E33" s="3" t="n"/>
      <c r="H33" s="3" t="n"/>
    </row>
    <row r="34">
      <c r="E34" s="3" t="n"/>
      <c r="H34" s="3" t="n"/>
    </row>
    <row r="35">
      <c r="A35" t="inlineStr">
        <is>
          <t>Total</t>
        </is>
      </c>
      <c r="B35" s="3">
        <f>SUM(B2:B34)</f>
        <v/>
      </c>
      <c r="E35" s="3">
        <f>SUM(E2:E27)</f>
        <v/>
      </c>
      <c r="H35" s="3">
        <f>SUM(H2:H34)</f>
        <v/>
      </c>
      <c r="K35" s="3">
        <f>SUM(K2:K34)</f>
        <v/>
      </c>
      <c r="N35" s="3">
        <f>SUM(N2:N34)</f>
        <v/>
      </c>
      <c r="Q35" s="3">
        <f>SUM(Q2:Q34)</f>
        <v/>
      </c>
      <c r="T35" s="3">
        <f>SUM(T2:T34)</f>
        <v/>
      </c>
      <c r="W35" s="3">
        <f>SUM(W2:W34)</f>
        <v/>
      </c>
      <c r="Z35" s="3">
        <f>SUM(Z2:Z34)</f>
        <v/>
      </c>
      <c r="AC35" s="3">
        <f>SUM(AC2:AC34)</f>
        <v/>
      </c>
      <c r="AF35" s="3">
        <f>SUM(AF2:AF34)</f>
        <v/>
      </c>
      <c r="AI35" s="3">
        <f>SUM(AI2:AI34)</f>
        <v/>
      </c>
    </row>
  </sheetData>
  <mergeCells count="3">
    <mergeCell ref="D1:E1"/>
    <mergeCell ref="G1:H1"/>
    <mergeCell ref="A1:B1"/>
  </mergeCells>
  <conditionalFormatting sqref="B2:B32">
    <cfRule type="cellIs" priority="43" operator="lessThan" dxfId="1">
      <formula>0</formula>
    </cfRule>
    <cfRule type="cellIs" priority="44" operator="greaterThan" dxfId="0">
      <formula>0</formula>
    </cfRule>
  </conditionalFormatting>
  <conditionalFormatting sqref="B35">
    <cfRule type="cellIs" priority="42" operator="greaterThan" dxfId="0">
      <formula>0</formula>
    </cfRule>
    <cfRule type="cellIs" priority="41" operator="lessThan" dxfId="1">
      <formula>0</formula>
    </cfRule>
  </conditionalFormatting>
  <conditionalFormatting sqref="E2:E35">
    <cfRule type="cellIs" priority="39" operator="lessThan" dxfId="1">
      <formula>0</formula>
    </cfRule>
    <cfRule type="cellIs" priority="40" operator="greaterThan" dxfId="0">
      <formula>0</formula>
    </cfRule>
  </conditionalFormatting>
  <conditionalFormatting sqref="H2:H35">
    <cfRule type="cellIs" priority="34" operator="greaterThan" dxfId="0">
      <formula>0</formula>
    </cfRule>
    <cfRule type="cellIs" priority="33" operator="lessThan" dxfId="1">
      <formula>0</formula>
    </cfRule>
  </conditionalFormatting>
  <conditionalFormatting sqref="K2:K32">
    <cfRule type="cellIs" priority="38" operator="greaterThan" dxfId="0">
      <formula>0</formula>
    </cfRule>
    <cfRule type="cellIs" priority="37" operator="lessThan" dxfId="1">
      <formula>0</formula>
    </cfRule>
  </conditionalFormatting>
  <conditionalFormatting sqref="K35">
    <cfRule type="cellIs" priority="36" operator="greaterThan" dxfId="0">
      <formula>0</formula>
    </cfRule>
    <cfRule type="cellIs" priority="35" operator="lessThan" dxfId="1">
      <formula>0</formula>
    </cfRule>
  </conditionalFormatting>
  <conditionalFormatting sqref="N2:N32">
    <cfRule type="cellIs" priority="32" operator="greaterThan" dxfId="0">
      <formula>0</formula>
    </cfRule>
    <cfRule type="cellIs" priority="31" operator="lessThan" dxfId="1">
      <formula>0</formula>
    </cfRule>
  </conditionalFormatting>
  <conditionalFormatting sqref="N35">
    <cfRule type="cellIs" priority="30" operator="greaterThan" dxfId="0">
      <formula>0</formula>
    </cfRule>
    <cfRule type="cellIs" priority="29" operator="lessThan" dxfId="1">
      <formula>0</formula>
    </cfRule>
  </conditionalFormatting>
  <conditionalFormatting sqref="Q2:Q30">
    <cfRule type="cellIs" priority="28" operator="greaterThan" dxfId="0">
      <formula>0</formula>
    </cfRule>
    <cfRule type="cellIs" priority="27" operator="lessThan" dxfId="1">
      <formula>0</formula>
    </cfRule>
  </conditionalFormatting>
  <conditionalFormatting sqref="Q35">
    <cfRule type="cellIs" priority="26" operator="greaterThan" dxfId="0">
      <formula>0</formula>
    </cfRule>
    <cfRule type="cellIs" priority="25" operator="lessThan" dxfId="1">
      <formula>0</formula>
    </cfRule>
  </conditionalFormatting>
  <conditionalFormatting sqref="T2:T30">
    <cfRule type="cellIs" priority="23" operator="lessThan" dxfId="1">
      <formula>0</formula>
    </cfRule>
    <cfRule type="cellIs" priority="24" operator="greaterThan" dxfId="0">
      <formula>0</formula>
    </cfRule>
  </conditionalFormatting>
  <conditionalFormatting sqref="T35">
    <cfRule type="cellIs" priority="22" operator="greaterThan" dxfId="0">
      <formula>0</formula>
    </cfRule>
    <cfRule type="cellIs" priority="21" operator="lessThan" dxfId="1">
      <formula>0</formula>
    </cfRule>
  </conditionalFormatting>
  <conditionalFormatting sqref="W2:W30">
    <cfRule type="cellIs" priority="20" operator="greaterThan" dxfId="0">
      <formula>0</formula>
    </cfRule>
    <cfRule type="cellIs" priority="19" operator="lessThan" dxfId="1">
      <formula>0</formula>
    </cfRule>
  </conditionalFormatting>
  <conditionalFormatting sqref="W35">
    <cfRule type="cellIs" priority="18" operator="greaterThan" dxfId="0">
      <formula>0</formula>
    </cfRule>
    <cfRule type="cellIs" priority="17" operator="lessThan" dxfId="1">
      <formula>0</formula>
    </cfRule>
  </conditionalFormatting>
  <conditionalFormatting sqref="Z2:Z30">
    <cfRule type="cellIs" priority="16" operator="greaterThan" dxfId="0">
      <formula>0</formula>
    </cfRule>
    <cfRule type="cellIs" priority="15" operator="lessThan" dxfId="1">
      <formula>0</formula>
    </cfRule>
  </conditionalFormatting>
  <conditionalFormatting sqref="Z35">
    <cfRule type="cellIs" priority="14" operator="greaterThan" dxfId="0">
      <formula>0</formula>
    </cfRule>
    <cfRule type="cellIs" priority="13" operator="lessThan" dxfId="1">
      <formula>0</formula>
    </cfRule>
  </conditionalFormatting>
  <conditionalFormatting sqref="AC2:AC32">
    <cfRule type="cellIs" priority="11" operator="lessThan" dxfId="1">
      <formula>0</formula>
    </cfRule>
    <cfRule type="cellIs" priority="12" operator="greaterThan" dxfId="0">
      <formula>0</formula>
    </cfRule>
  </conditionalFormatting>
  <conditionalFormatting sqref="AC35">
    <cfRule type="cellIs" priority="10" operator="greaterThan" dxfId="0">
      <formula>0</formula>
    </cfRule>
    <cfRule type="cellIs" priority="9" operator="lessThan" dxfId="1">
      <formula>0</formula>
    </cfRule>
  </conditionalFormatting>
  <conditionalFormatting sqref="AF2:AF32">
    <cfRule type="cellIs" priority="8" operator="greaterThan" dxfId="0">
      <formula>0</formula>
    </cfRule>
    <cfRule type="cellIs" priority="7" operator="lessThan" dxfId="1">
      <formula>0</formula>
    </cfRule>
  </conditionalFormatting>
  <conditionalFormatting sqref="AF35">
    <cfRule type="cellIs" priority="6" operator="greaterThan" dxfId="0">
      <formula>0</formula>
    </cfRule>
    <cfRule type="cellIs" priority="5" operator="lessThan" dxfId="1">
      <formula>0</formula>
    </cfRule>
  </conditionalFormatting>
  <conditionalFormatting sqref="AI2:AI32">
    <cfRule type="cellIs" priority="4" operator="greaterThan" dxfId="0">
      <formula>0</formula>
    </cfRule>
    <cfRule type="cellIs" priority="3" operator="lessThan" dxfId="1">
      <formula>0</formula>
    </cfRule>
  </conditionalFormatting>
  <conditionalFormatting sqref="AI35">
    <cfRule type="cellIs" priority="2" operator="greaterThan" dxfId="0">
      <formula>0</formula>
    </cfRule>
    <cfRule type="cellIs" priority="1" operator="lessThan" dxfId="1">
      <formula>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selection activeCell="E36" sqref="E36"/>
    </sheetView>
  </sheetViews>
  <sheetFormatPr baseColWidth="8" defaultRowHeight="15"/>
  <cols>
    <col width="18.42578125" customWidth="1" min="1" max="1"/>
    <col width="15.42578125" customWidth="1" style="3" min="2" max="2"/>
    <col width="11.5703125" customWidth="1" min="4" max="4"/>
    <col width="12.5703125" customWidth="1" min="5" max="5"/>
    <col width="11.5703125" customWidth="1" min="7" max="7"/>
    <col width="12.5703125" customWidth="1" min="8" max="8"/>
    <col width="11.5703125" customWidth="1" min="10" max="10"/>
    <col width="10.140625" bestFit="1" customWidth="1" min="11" max="11"/>
    <col width="10.42578125" bestFit="1" customWidth="1" min="13" max="13"/>
    <col width="10.85546875" bestFit="1" customWidth="1" min="14" max="14"/>
    <col width="10.85546875" bestFit="1" customWidth="1" min="17" max="17"/>
    <col width="10.85546875" bestFit="1" customWidth="1" min="20" max="20"/>
    <col width="10.85546875" bestFit="1" customWidth="1" min="23" max="23"/>
    <col width="10.85546875" bestFit="1" customWidth="1" min="26" max="26"/>
    <col width="10.85546875" bestFit="1" customWidth="1" min="29" max="29"/>
    <col width="10.85546875" bestFit="1" customWidth="1" min="32" max="32"/>
    <col width="10.140625" bestFit="1" customWidth="1" min="35" max="35"/>
  </cols>
  <sheetData>
    <row r="1" customFormat="1" s="2">
      <c r="A1" s="9" t="inlineStr">
        <is>
          <t>January</t>
        </is>
      </c>
      <c r="D1" s="9" t="inlineStr">
        <is>
          <t>February</t>
        </is>
      </c>
      <c r="G1" s="9" t="inlineStr">
        <is>
          <t>March</t>
        </is>
      </c>
      <c r="J1" s="2" t="inlineStr">
        <is>
          <t>April</t>
        </is>
      </c>
      <c r="M1" s="2" t="inlineStr">
        <is>
          <t>May</t>
        </is>
      </c>
      <c r="P1" s="2" t="inlineStr">
        <is>
          <t>Jun</t>
        </is>
      </c>
      <c r="S1" s="2" t="inlineStr">
        <is>
          <t>Jul</t>
        </is>
      </c>
      <c r="V1" s="2" t="inlineStr">
        <is>
          <t>Aug</t>
        </is>
      </c>
      <c r="Y1" s="2" t="inlineStr">
        <is>
          <t>Sep</t>
        </is>
      </c>
      <c r="AB1" s="2" t="inlineStr">
        <is>
          <t>Oct</t>
        </is>
      </c>
      <c r="AE1" s="2" t="inlineStr">
        <is>
          <t>Nov</t>
        </is>
      </c>
      <c r="AH1" s="2" t="inlineStr">
        <is>
          <t>Dec</t>
        </is>
      </c>
    </row>
    <row r="2">
      <c r="A2" t="n">
        <v>1</v>
      </c>
      <c r="D2" t="n">
        <v>1</v>
      </c>
      <c r="E2" s="3" t="n"/>
      <c r="G2" t="n">
        <v>1</v>
      </c>
      <c r="H2" s="3" t="n"/>
      <c r="J2" t="n">
        <v>1</v>
      </c>
      <c r="K2" s="3" t="n"/>
      <c r="M2" t="n">
        <v>1</v>
      </c>
      <c r="N2" s="3" t="n"/>
      <c r="P2" t="n">
        <v>1</v>
      </c>
      <c r="Q2" s="3" t="n"/>
      <c r="S2" t="n">
        <v>1</v>
      </c>
      <c r="T2" s="3" t="n"/>
      <c r="V2" t="n">
        <v>1</v>
      </c>
      <c r="W2" s="3" t="n"/>
      <c r="Y2" t="n">
        <v>1</v>
      </c>
      <c r="Z2" s="3" t="n"/>
      <c r="AB2" t="n">
        <v>1</v>
      </c>
      <c r="AC2" s="3" t="n"/>
      <c r="AE2" t="n">
        <v>1</v>
      </c>
      <c r="AF2" s="3" t="n"/>
      <c r="AH2" t="n">
        <v>1</v>
      </c>
      <c r="AI2" s="3" t="n"/>
    </row>
    <row r="3">
      <c r="A3" t="n">
        <v>2</v>
      </c>
      <c r="D3" t="n">
        <v>2</v>
      </c>
      <c r="E3" s="3" t="n"/>
      <c r="G3" t="n">
        <v>2</v>
      </c>
      <c r="H3" s="3" t="n"/>
      <c r="J3" t="n">
        <v>2</v>
      </c>
      <c r="K3" s="3" t="n"/>
      <c r="M3" t="n">
        <v>2</v>
      </c>
      <c r="N3" s="3" t="n"/>
      <c r="P3" t="n">
        <v>2</v>
      </c>
      <c r="Q3" s="3" t="n"/>
      <c r="S3" t="n">
        <v>2</v>
      </c>
      <c r="T3" s="3" t="n"/>
      <c r="V3" t="n">
        <v>2</v>
      </c>
      <c r="W3" s="3" t="n"/>
      <c r="Y3" t="n">
        <v>2</v>
      </c>
      <c r="Z3" s="3" t="n"/>
      <c r="AB3" t="n">
        <v>2</v>
      </c>
      <c r="AC3" s="3" t="n"/>
      <c r="AE3" t="n">
        <v>2</v>
      </c>
      <c r="AF3" s="3" t="n"/>
      <c r="AH3" t="n">
        <v>2</v>
      </c>
      <c r="AI3" s="3" t="n"/>
    </row>
    <row r="4">
      <c r="A4" t="n">
        <v>3</v>
      </c>
      <c r="D4" t="n">
        <v>3</v>
      </c>
      <c r="E4" s="3" t="n"/>
      <c r="G4" t="n">
        <v>3</v>
      </c>
      <c r="H4" s="3" t="n"/>
      <c r="J4" t="n">
        <v>3</v>
      </c>
      <c r="K4" s="3" t="n"/>
      <c r="M4" t="n">
        <v>3</v>
      </c>
      <c r="N4" s="3" t="n"/>
      <c r="P4" t="n">
        <v>3</v>
      </c>
      <c r="Q4" s="3" t="n"/>
      <c r="S4" t="n">
        <v>3</v>
      </c>
      <c r="T4" s="3" t="n"/>
      <c r="V4" t="n">
        <v>3</v>
      </c>
      <c r="W4" s="3" t="n"/>
      <c r="Y4" t="n">
        <v>3</v>
      </c>
      <c r="Z4" s="3" t="n"/>
      <c r="AB4" t="n">
        <v>3</v>
      </c>
      <c r="AC4" s="3" t="n"/>
      <c r="AE4" t="n">
        <v>3</v>
      </c>
      <c r="AF4" s="3" t="n"/>
      <c r="AH4" t="n">
        <v>3</v>
      </c>
      <c r="AI4" s="3" t="n"/>
    </row>
    <row r="5">
      <c r="A5" t="n">
        <v>4</v>
      </c>
      <c r="D5" t="n">
        <v>4</v>
      </c>
      <c r="E5" s="3" t="n"/>
      <c r="G5" t="n">
        <v>4</v>
      </c>
      <c r="H5" s="3" t="n"/>
      <c r="J5" t="n">
        <v>4</v>
      </c>
      <c r="K5" s="3" t="n"/>
      <c r="M5" t="n">
        <v>4</v>
      </c>
      <c r="N5" s="3" t="n"/>
      <c r="P5" t="n">
        <v>4</v>
      </c>
      <c r="Q5" s="3" t="n"/>
      <c r="S5" t="n">
        <v>4</v>
      </c>
      <c r="T5" s="3" t="n"/>
      <c r="V5" t="n">
        <v>4</v>
      </c>
      <c r="W5" s="3" t="n"/>
      <c r="Y5" t="n">
        <v>4</v>
      </c>
      <c r="Z5" s="3" t="n"/>
      <c r="AB5" t="n">
        <v>4</v>
      </c>
      <c r="AC5" s="3" t="n"/>
      <c r="AE5" t="n">
        <v>4</v>
      </c>
      <c r="AF5" s="3" t="n"/>
      <c r="AH5" t="n">
        <v>4</v>
      </c>
      <c r="AI5" s="3" t="n"/>
    </row>
    <row r="6">
      <c r="A6" t="n">
        <v>5</v>
      </c>
      <c r="D6" t="n">
        <v>5</v>
      </c>
      <c r="E6" s="3" t="n"/>
      <c r="G6" t="n">
        <v>5</v>
      </c>
      <c r="H6" s="3" t="n"/>
      <c r="J6" t="n">
        <v>5</v>
      </c>
      <c r="K6" s="3" t="n"/>
      <c r="M6" t="n">
        <v>5</v>
      </c>
      <c r="N6" s="3" t="n"/>
      <c r="P6" t="n">
        <v>5</v>
      </c>
      <c r="Q6" s="3" t="n"/>
      <c r="S6" t="n">
        <v>5</v>
      </c>
      <c r="T6" s="3" t="n"/>
      <c r="V6" t="n">
        <v>5</v>
      </c>
      <c r="W6" s="3" t="n"/>
      <c r="Y6" t="n">
        <v>5</v>
      </c>
      <c r="Z6" s="3" t="n"/>
      <c r="AB6" t="n">
        <v>5</v>
      </c>
      <c r="AC6" s="3" t="n"/>
      <c r="AE6" t="n">
        <v>5</v>
      </c>
      <c r="AF6" s="3" t="n"/>
      <c r="AH6" t="n">
        <v>5</v>
      </c>
      <c r="AI6" s="3" t="n"/>
    </row>
    <row r="7">
      <c r="A7" t="n">
        <v>6</v>
      </c>
      <c r="D7" t="n">
        <v>6</v>
      </c>
      <c r="E7" s="3" t="n"/>
      <c r="G7" t="n">
        <v>6</v>
      </c>
      <c r="H7" s="3" t="n"/>
      <c r="J7" t="n">
        <v>6</v>
      </c>
      <c r="K7" s="3" t="n"/>
      <c r="M7" t="n">
        <v>6</v>
      </c>
      <c r="N7" s="3" t="n"/>
      <c r="P7" t="n">
        <v>6</v>
      </c>
      <c r="Q7" s="3" t="n"/>
      <c r="S7" t="n">
        <v>6</v>
      </c>
      <c r="T7" s="3" t="n"/>
      <c r="V7" t="n">
        <v>6</v>
      </c>
      <c r="W7" s="3" t="n"/>
      <c r="Y7" t="n">
        <v>6</v>
      </c>
      <c r="Z7" s="3" t="n"/>
      <c r="AB7" t="n">
        <v>6</v>
      </c>
      <c r="AC7" s="3" t="n"/>
      <c r="AE7" t="n">
        <v>6</v>
      </c>
      <c r="AF7" s="3" t="n"/>
      <c r="AH7" t="n">
        <v>6</v>
      </c>
      <c r="AI7" s="3" t="n"/>
    </row>
    <row r="8">
      <c r="A8" t="n">
        <v>7</v>
      </c>
      <c r="D8" t="n">
        <v>7</v>
      </c>
      <c r="E8" s="3" t="n"/>
      <c r="G8" t="n">
        <v>7</v>
      </c>
      <c r="H8" s="3" t="n"/>
      <c r="J8" t="n">
        <v>7</v>
      </c>
      <c r="K8" s="3" t="n"/>
      <c r="M8" t="n">
        <v>7</v>
      </c>
      <c r="N8" s="3" t="n"/>
      <c r="P8" t="n">
        <v>7</v>
      </c>
      <c r="Q8" s="3" t="n"/>
      <c r="S8" t="n">
        <v>7</v>
      </c>
      <c r="T8" s="3" t="n"/>
      <c r="V8" t="n">
        <v>7</v>
      </c>
      <c r="W8" s="3" t="n"/>
      <c r="Y8" t="n">
        <v>7</v>
      </c>
      <c r="Z8" s="3" t="n"/>
      <c r="AB8" t="n">
        <v>7</v>
      </c>
      <c r="AC8" s="3" t="n"/>
      <c r="AE8" t="n">
        <v>7</v>
      </c>
      <c r="AF8" s="3" t="n"/>
      <c r="AH8" t="n">
        <v>7</v>
      </c>
      <c r="AI8" s="3" t="n"/>
    </row>
    <row r="9">
      <c r="A9" t="n">
        <v>8</v>
      </c>
      <c r="D9" t="n">
        <v>8</v>
      </c>
      <c r="E9" s="3" t="n"/>
      <c r="G9" t="n">
        <v>8</v>
      </c>
      <c r="H9" s="3" t="n"/>
      <c r="J9" t="n">
        <v>8</v>
      </c>
      <c r="K9" s="3" t="n"/>
      <c r="M9" t="n">
        <v>8</v>
      </c>
      <c r="N9" s="3" t="n"/>
      <c r="P9" t="n">
        <v>8</v>
      </c>
      <c r="Q9" s="3" t="n"/>
      <c r="S9" t="n">
        <v>8</v>
      </c>
      <c r="T9" s="3" t="n"/>
      <c r="V9" t="n">
        <v>8</v>
      </c>
      <c r="W9" s="3" t="n"/>
      <c r="Y9" t="n">
        <v>8</v>
      </c>
      <c r="Z9" s="3" t="n"/>
      <c r="AB9" t="n">
        <v>8</v>
      </c>
      <c r="AC9" s="3" t="n"/>
      <c r="AE9" t="n">
        <v>8</v>
      </c>
      <c r="AF9" s="3" t="n"/>
      <c r="AH9" t="n">
        <v>8</v>
      </c>
      <c r="AI9" s="3" t="n"/>
    </row>
    <row r="10">
      <c r="A10" t="n">
        <v>9</v>
      </c>
      <c r="D10" t="n">
        <v>9</v>
      </c>
      <c r="E10" s="3" t="n"/>
      <c r="G10" t="n">
        <v>9</v>
      </c>
      <c r="H10" s="3" t="n"/>
      <c r="J10" t="n">
        <v>9</v>
      </c>
      <c r="K10" s="3" t="n"/>
      <c r="M10" t="n">
        <v>9</v>
      </c>
      <c r="N10" s="3" t="n"/>
      <c r="P10" t="n">
        <v>9</v>
      </c>
      <c r="Q10" s="3" t="n"/>
      <c r="S10" t="n">
        <v>9</v>
      </c>
      <c r="T10" s="3" t="n"/>
      <c r="V10" t="n">
        <v>9</v>
      </c>
      <c r="W10" s="3" t="n"/>
      <c r="Y10" t="n">
        <v>9</v>
      </c>
      <c r="Z10" s="3" t="n"/>
      <c r="AB10" t="n">
        <v>9</v>
      </c>
      <c r="AC10" s="3" t="n"/>
      <c r="AE10" t="n">
        <v>9</v>
      </c>
      <c r="AF10" s="3" t="n"/>
      <c r="AH10" t="n">
        <v>9</v>
      </c>
      <c r="AI10" s="3" t="n"/>
    </row>
    <row r="11">
      <c r="A11" t="n">
        <v>10</v>
      </c>
      <c r="D11" t="n">
        <v>10</v>
      </c>
      <c r="E11" s="3" t="n"/>
      <c r="G11" t="n">
        <v>10</v>
      </c>
      <c r="H11" s="3" t="n"/>
      <c r="J11" t="n">
        <v>10</v>
      </c>
      <c r="K11" s="3" t="n"/>
      <c r="M11" t="n">
        <v>10</v>
      </c>
      <c r="N11" s="3" t="n"/>
      <c r="P11" t="n">
        <v>10</v>
      </c>
      <c r="Q11" s="3" t="n"/>
      <c r="S11" t="n">
        <v>10</v>
      </c>
      <c r="T11" s="3" t="n"/>
      <c r="V11" t="n">
        <v>10</v>
      </c>
      <c r="W11" s="3" t="n"/>
      <c r="Y11" t="n">
        <v>10</v>
      </c>
      <c r="Z11" s="3" t="n"/>
      <c r="AB11" t="n">
        <v>10</v>
      </c>
      <c r="AC11" s="3" t="n"/>
      <c r="AE11" t="n">
        <v>10</v>
      </c>
      <c r="AF11" s="3" t="n"/>
      <c r="AH11" t="n">
        <v>10</v>
      </c>
      <c r="AI11" s="3" t="n"/>
    </row>
    <row r="12">
      <c r="A12" t="n">
        <v>11</v>
      </c>
      <c r="D12" t="n">
        <v>11</v>
      </c>
      <c r="E12" s="3" t="n"/>
      <c r="G12" t="n">
        <v>11</v>
      </c>
      <c r="H12" s="3" t="n"/>
      <c r="J12" t="n">
        <v>11</v>
      </c>
      <c r="K12" s="3" t="n"/>
      <c r="M12" t="n">
        <v>11</v>
      </c>
      <c r="N12" s="3" t="n"/>
      <c r="P12" t="n">
        <v>11</v>
      </c>
      <c r="Q12" s="3" t="n"/>
      <c r="S12" t="n">
        <v>11</v>
      </c>
      <c r="T12" s="3" t="n"/>
      <c r="V12" t="n">
        <v>11</v>
      </c>
      <c r="W12" s="3" t="n"/>
      <c r="Y12" t="n">
        <v>11</v>
      </c>
      <c r="Z12" s="3" t="n"/>
      <c r="AB12" t="n">
        <v>11</v>
      </c>
      <c r="AC12" s="3" t="n"/>
      <c r="AE12" t="n">
        <v>11</v>
      </c>
      <c r="AF12" s="3" t="n"/>
      <c r="AH12" t="n">
        <v>11</v>
      </c>
      <c r="AI12" s="3" t="n"/>
    </row>
    <row r="13">
      <c r="A13" t="n">
        <v>12</v>
      </c>
      <c r="D13" t="n">
        <v>12</v>
      </c>
      <c r="E13" s="3" t="n"/>
      <c r="G13" t="n">
        <v>12</v>
      </c>
      <c r="H13" s="3" t="n"/>
      <c r="J13" t="n">
        <v>12</v>
      </c>
      <c r="K13" s="3" t="n"/>
      <c r="M13" t="n">
        <v>12</v>
      </c>
      <c r="N13" s="3" t="n"/>
      <c r="P13" t="n">
        <v>12</v>
      </c>
      <c r="Q13" s="3" t="n"/>
      <c r="S13" t="n">
        <v>12</v>
      </c>
      <c r="T13" s="3" t="n"/>
      <c r="V13" t="n">
        <v>12</v>
      </c>
      <c r="W13" s="3" t="n"/>
      <c r="Y13" t="n">
        <v>12</v>
      </c>
      <c r="Z13" s="3" t="n"/>
      <c r="AB13" t="n">
        <v>12</v>
      </c>
      <c r="AC13" s="3" t="n"/>
      <c r="AE13" t="n">
        <v>12</v>
      </c>
      <c r="AF13" s="3" t="n"/>
      <c r="AH13" t="n">
        <v>12</v>
      </c>
      <c r="AI13" s="3" t="n"/>
    </row>
    <row r="14">
      <c r="A14" t="n">
        <v>13</v>
      </c>
      <c r="D14" t="n">
        <v>13</v>
      </c>
      <c r="E14" s="3" t="n"/>
      <c r="G14" t="n">
        <v>13</v>
      </c>
      <c r="H14" s="3" t="n"/>
      <c r="J14" t="n">
        <v>13</v>
      </c>
      <c r="K14" s="3" t="n"/>
      <c r="M14" t="n">
        <v>13</v>
      </c>
      <c r="N14" s="3" t="n"/>
      <c r="P14" t="n">
        <v>13</v>
      </c>
      <c r="Q14" s="3" t="n"/>
      <c r="S14" t="n">
        <v>13</v>
      </c>
      <c r="T14" s="3" t="n"/>
      <c r="V14" t="n">
        <v>13</v>
      </c>
      <c r="W14" s="3" t="n"/>
      <c r="Y14" t="n">
        <v>13</v>
      </c>
      <c r="Z14" s="3" t="n"/>
      <c r="AB14" t="n">
        <v>13</v>
      </c>
      <c r="AC14" s="3" t="n"/>
      <c r="AE14" t="n">
        <v>13</v>
      </c>
      <c r="AF14" s="3" t="n"/>
      <c r="AH14" t="n">
        <v>13</v>
      </c>
      <c r="AI14" s="3" t="n"/>
    </row>
    <row r="15">
      <c r="A15" t="n">
        <v>14</v>
      </c>
      <c r="D15" t="n">
        <v>14</v>
      </c>
      <c r="E15" s="3" t="n"/>
      <c r="G15" t="n">
        <v>14</v>
      </c>
      <c r="H15" s="3" t="n"/>
      <c r="J15" t="n">
        <v>14</v>
      </c>
      <c r="K15" s="3" t="n"/>
      <c r="M15" t="n">
        <v>14</v>
      </c>
      <c r="N15" s="3" t="n"/>
      <c r="P15" t="n">
        <v>14</v>
      </c>
      <c r="Q15" s="3" t="n"/>
      <c r="S15" t="n">
        <v>14</v>
      </c>
      <c r="T15" s="3" t="n"/>
      <c r="V15" t="n">
        <v>14</v>
      </c>
      <c r="W15" s="3" t="n"/>
      <c r="Y15" t="n">
        <v>14</v>
      </c>
      <c r="Z15" s="3" t="n"/>
      <c r="AB15" t="n">
        <v>14</v>
      </c>
      <c r="AC15" s="3" t="n"/>
      <c r="AE15" t="n">
        <v>14</v>
      </c>
      <c r="AF15" s="3" t="n"/>
      <c r="AH15" t="n">
        <v>14</v>
      </c>
      <c r="AI15" s="3" t="n"/>
    </row>
    <row r="16">
      <c r="A16" t="n">
        <v>15</v>
      </c>
      <c r="D16" t="n">
        <v>15</v>
      </c>
      <c r="E16" s="3" t="n"/>
      <c r="G16" t="n">
        <v>15</v>
      </c>
      <c r="H16" s="3" t="n"/>
      <c r="J16" t="n">
        <v>15</v>
      </c>
      <c r="K16" s="3" t="n"/>
      <c r="M16" t="n">
        <v>15</v>
      </c>
      <c r="N16" s="3" t="n"/>
      <c r="P16" t="n">
        <v>15</v>
      </c>
      <c r="Q16" s="3" t="n"/>
      <c r="S16" t="n">
        <v>15</v>
      </c>
      <c r="T16" s="3" t="n"/>
      <c r="V16" t="n">
        <v>15</v>
      </c>
      <c r="W16" s="3" t="n"/>
      <c r="Y16" t="n">
        <v>15</v>
      </c>
      <c r="Z16" s="3" t="n"/>
      <c r="AB16" t="n">
        <v>15</v>
      </c>
      <c r="AC16" s="3" t="n"/>
      <c r="AE16" t="n">
        <v>15</v>
      </c>
      <c r="AF16" s="3" t="n"/>
      <c r="AH16" t="n">
        <v>15</v>
      </c>
      <c r="AI16" s="3" t="n"/>
    </row>
    <row r="17">
      <c r="A17" t="n">
        <v>16</v>
      </c>
      <c r="D17" t="n">
        <v>16</v>
      </c>
      <c r="E17" s="3" t="n"/>
      <c r="G17" t="n">
        <v>16</v>
      </c>
      <c r="H17" s="3" t="n"/>
      <c r="J17" t="n">
        <v>16</v>
      </c>
      <c r="K17" s="3" t="n"/>
      <c r="M17" t="n">
        <v>16</v>
      </c>
      <c r="N17" s="3" t="n"/>
      <c r="P17" t="n">
        <v>16</v>
      </c>
      <c r="Q17" s="3" t="n"/>
      <c r="S17" t="n">
        <v>16</v>
      </c>
      <c r="T17" s="3" t="n"/>
      <c r="V17" t="n">
        <v>16</v>
      </c>
      <c r="W17" s="3" t="n"/>
      <c r="Y17" t="n">
        <v>16</v>
      </c>
      <c r="Z17" s="3" t="n"/>
      <c r="AB17" t="n">
        <v>16</v>
      </c>
      <c r="AC17" s="3" t="n"/>
      <c r="AE17" t="n">
        <v>16</v>
      </c>
      <c r="AF17" s="3" t="n"/>
      <c r="AH17" t="n">
        <v>16</v>
      </c>
      <c r="AI17" s="3" t="n"/>
    </row>
    <row r="18">
      <c r="A18" t="n">
        <v>17</v>
      </c>
      <c r="D18" t="n">
        <v>17</v>
      </c>
      <c r="E18" s="3" t="n"/>
      <c r="G18" t="n">
        <v>17</v>
      </c>
      <c r="H18" s="3" t="n"/>
      <c r="J18" t="n">
        <v>17</v>
      </c>
      <c r="K18" s="3" t="n"/>
      <c r="M18" t="n">
        <v>17</v>
      </c>
      <c r="N18" s="3" t="n"/>
      <c r="P18" t="n">
        <v>17</v>
      </c>
      <c r="Q18" s="3" t="n"/>
      <c r="S18" t="n">
        <v>17</v>
      </c>
      <c r="T18" s="3" t="n"/>
      <c r="V18" t="n">
        <v>17</v>
      </c>
      <c r="W18" s="3" t="n"/>
      <c r="Y18" t="n">
        <v>17</v>
      </c>
      <c r="Z18" s="3" t="n"/>
      <c r="AB18" t="n">
        <v>17</v>
      </c>
      <c r="AC18" s="3" t="n"/>
      <c r="AE18" t="n">
        <v>17</v>
      </c>
      <c r="AF18" s="3" t="n"/>
      <c r="AH18" t="n">
        <v>17</v>
      </c>
      <c r="AI18" s="3" t="n"/>
    </row>
    <row r="19">
      <c r="A19" t="n">
        <v>18</v>
      </c>
      <c r="D19" t="n">
        <v>18</v>
      </c>
      <c r="E19" s="3" t="n"/>
      <c r="G19" t="n">
        <v>18</v>
      </c>
      <c r="H19" s="3" t="n"/>
      <c r="J19" t="n">
        <v>18</v>
      </c>
      <c r="K19" s="3" t="n"/>
      <c r="M19" t="n">
        <v>18</v>
      </c>
      <c r="N19" s="3" t="n"/>
      <c r="P19" t="n">
        <v>18</v>
      </c>
      <c r="Q19" s="3" t="n"/>
      <c r="S19" t="n">
        <v>18</v>
      </c>
      <c r="T19" s="3" t="n"/>
      <c r="V19" t="n">
        <v>18</v>
      </c>
      <c r="W19" s="3" t="n"/>
      <c r="Y19" t="n">
        <v>18</v>
      </c>
      <c r="Z19" s="3" t="n"/>
      <c r="AB19" t="n">
        <v>18</v>
      </c>
      <c r="AC19" s="3" t="n"/>
      <c r="AE19" t="n">
        <v>18</v>
      </c>
      <c r="AF19" s="3" t="n"/>
      <c r="AH19" t="n">
        <v>18</v>
      </c>
      <c r="AI19" s="3" t="n"/>
    </row>
    <row r="20">
      <c r="A20" t="n">
        <v>19</v>
      </c>
      <c r="D20" t="n">
        <v>19</v>
      </c>
      <c r="E20" s="3" t="n"/>
      <c r="G20" t="n">
        <v>19</v>
      </c>
      <c r="H20" s="3" t="n"/>
      <c r="J20" t="n">
        <v>19</v>
      </c>
      <c r="K20" s="3" t="n"/>
      <c r="M20" t="n">
        <v>19</v>
      </c>
      <c r="N20" s="3" t="n"/>
      <c r="P20" t="n">
        <v>19</v>
      </c>
      <c r="Q20" s="3" t="n"/>
      <c r="S20" t="n">
        <v>19</v>
      </c>
      <c r="T20" s="3" t="n"/>
      <c r="V20" t="n">
        <v>19</v>
      </c>
      <c r="W20" s="3" t="n"/>
      <c r="Y20" t="n">
        <v>19</v>
      </c>
      <c r="Z20" s="3" t="n"/>
      <c r="AB20" t="n">
        <v>19</v>
      </c>
      <c r="AC20" s="3" t="n"/>
      <c r="AE20" t="n">
        <v>19</v>
      </c>
      <c r="AF20" s="3" t="n"/>
      <c r="AH20" t="n">
        <v>19</v>
      </c>
      <c r="AI20" s="3" t="n"/>
    </row>
    <row r="21">
      <c r="A21" t="n">
        <v>20</v>
      </c>
      <c r="D21" t="n">
        <v>20</v>
      </c>
      <c r="E21" s="3" t="n"/>
      <c r="G21" t="n">
        <v>20</v>
      </c>
      <c r="H21" s="3" t="n"/>
      <c r="J21" t="n">
        <v>20</v>
      </c>
      <c r="K21" s="3" t="n"/>
      <c r="M21" t="n">
        <v>20</v>
      </c>
      <c r="N21" s="3" t="n"/>
      <c r="P21" t="n">
        <v>20</v>
      </c>
      <c r="Q21" s="3" t="n"/>
      <c r="S21" t="n">
        <v>20</v>
      </c>
      <c r="T21" s="3" t="n"/>
      <c r="V21" t="n">
        <v>20</v>
      </c>
      <c r="W21" s="3" t="n"/>
      <c r="Y21" t="n">
        <v>20</v>
      </c>
      <c r="Z21" s="3" t="n"/>
      <c r="AB21" t="n">
        <v>20</v>
      </c>
      <c r="AC21" s="3" t="n"/>
      <c r="AE21" t="n">
        <v>20</v>
      </c>
      <c r="AF21" s="3" t="n"/>
      <c r="AH21" t="n">
        <v>20</v>
      </c>
      <c r="AI21" s="3" t="n"/>
    </row>
    <row r="22">
      <c r="A22" t="n">
        <v>21</v>
      </c>
      <c r="D22" t="n">
        <v>21</v>
      </c>
      <c r="E22" s="3" t="n"/>
      <c r="G22" t="n">
        <v>21</v>
      </c>
      <c r="H22" s="3" t="n"/>
      <c r="J22" t="n">
        <v>21</v>
      </c>
      <c r="K22" s="3" t="n"/>
      <c r="M22" t="n">
        <v>21</v>
      </c>
      <c r="N22" s="3" t="n"/>
      <c r="P22" t="n">
        <v>21</v>
      </c>
      <c r="Q22" s="3" t="n"/>
      <c r="S22" t="n">
        <v>21</v>
      </c>
      <c r="T22" s="3" t="n"/>
      <c r="V22" t="n">
        <v>21</v>
      </c>
      <c r="W22" s="3" t="n"/>
      <c r="Y22" t="n">
        <v>21</v>
      </c>
      <c r="Z22" s="3" t="n"/>
      <c r="AB22" t="n">
        <v>21</v>
      </c>
      <c r="AC22" s="3" t="n"/>
      <c r="AE22" t="n">
        <v>21</v>
      </c>
      <c r="AF22" s="3" t="n"/>
      <c r="AH22" t="n">
        <v>21</v>
      </c>
      <c r="AI22" s="3" t="n"/>
    </row>
    <row r="23">
      <c r="A23" t="n">
        <v>22</v>
      </c>
      <c r="D23" t="n">
        <v>22</v>
      </c>
      <c r="E23" s="3" t="n"/>
      <c r="G23" t="n">
        <v>22</v>
      </c>
      <c r="H23" s="3" t="n"/>
      <c r="J23" t="n">
        <v>22</v>
      </c>
      <c r="K23" s="3" t="n"/>
      <c r="M23" t="n">
        <v>22</v>
      </c>
      <c r="N23" s="3" t="n"/>
      <c r="P23" t="n">
        <v>22</v>
      </c>
      <c r="Q23" s="3" t="n"/>
      <c r="S23" t="n">
        <v>22</v>
      </c>
      <c r="T23" s="3" t="n"/>
      <c r="V23" t="n">
        <v>22</v>
      </c>
      <c r="W23" s="3" t="n"/>
      <c r="Y23" t="n">
        <v>22</v>
      </c>
      <c r="Z23" s="3" t="n"/>
      <c r="AB23" t="n">
        <v>22</v>
      </c>
      <c r="AC23" s="3" t="n"/>
      <c r="AE23" t="n">
        <v>22</v>
      </c>
      <c r="AF23" s="3" t="n"/>
      <c r="AH23" t="n">
        <v>22</v>
      </c>
      <c r="AI23" s="3" t="n"/>
    </row>
    <row r="24">
      <c r="A24" t="n">
        <v>23</v>
      </c>
      <c r="D24" t="n">
        <v>23</v>
      </c>
      <c r="E24" s="3" t="n"/>
      <c r="G24" t="n">
        <v>23</v>
      </c>
      <c r="H24" s="3" t="n"/>
      <c r="J24" t="n">
        <v>23</v>
      </c>
      <c r="K24" s="3" t="n"/>
      <c r="M24" t="n">
        <v>23</v>
      </c>
      <c r="N24" s="3" t="n"/>
      <c r="P24" t="n">
        <v>23</v>
      </c>
      <c r="Q24" s="3" t="n"/>
      <c r="S24" t="n">
        <v>23</v>
      </c>
      <c r="T24" s="3" t="n"/>
      <c r="V24" t="n">
        <v>23</v>
      </c>
      <c r="W24" s="3" t="n"/>
      <c r="Y24" t="n">
        <v>23</v>
      </c>
      <c r="Z24" s="3" t="n"/>
      <c r="AB24" t="n">
        <v>23</v>
      </c>
      <c r="AC24" s="3" t="n"/>
      <c r="AE24" t="n">
        <v>23</v>
      </c>
      <c r="AF24" s="3" t="n"/>
      <c r="AH24" t="n">
        <v>23</v>
      </c>
      <c r="AI24" s="3" t="n"/>
    </row>
    <row r="25">
      <c r="A25" t="n">
        <v>24</v>
      </c>
      <c r="D25" t="n">
        <v>24</v>
      </c>
      <c r="E25" s="3" t="n"/>
      <c r="G25" t="n">
        <v>24</v>
      </c>
      <c r="H25" s="3" t="n"/>
      <c r="J25" t="n">
        <v>24</v>
      </c>
      <c r="K25" s="3" t="n"/>
      <c r="M25" t="n">
        <v>24</v>
      </c>
      <c r="N25" s="3" t="n"/>
      <c r="P25" t="n">
        <v>24</v>
      </c>
      <c r="Q25" s="3" t="n"/>
      <c r="S25" t="n">
        <v>24</v>
      </c>
      <c r="T25" s="3" t="n"/>
      <c r="V25" t="n">
        <v>24</v>
      </c>
      <c r="W25" s="3" t="n"/>
      <c r="Y25" t="n">
        <v>24</v>
      </c>
      <c r="Z25" s="3" t="n"/>
      <c r="AB25" t="n">
        <v>24</v>
      </c>
      <c r="AC25" s="3" t="n"/>
      <c r="AE25" t="n">
        <v>24</v>
      </c>
      <c r="AF25" s="3" t="n"/>
      <c r="AH25" t="n">
        <v>24</v>
      </c>
      <c r="AI25" s="3" t="n"/>
    </row>
    <row r="26">
      <c r="A26" t="n">
        <v>25</v>
      </c>
      <c r="D26" t="n">
        <v>25</v>
      </c>
      <c r="E26" s="3" t="n"/>
      <c r="G26" t="n">
        <v>25</v>
      </c>
      <c r="H26" s="3" t="n"/>
      <c r="J26" t="n">
        <v>25</v>
      </c>
      <c r="K26" s="3" t="n"/>
      <c r="M26" t="n">
        <v>25</v>
      </c>
      <c r="N26" s="3" t="n"/>
      <c r="P26" t="n">
        <v>25</v>
      </c>
      <c r="Q26" s="3" t="n"/>
      <c r="S26" t="n">
        <v>25</v>
      </c>
      <c r="T26" s="3" t="n"/>
      <c r="V26" t="n">
        <v>25</v>
      </c>
      <c r="W26" s="3" t="n"/>
      <c r="Y26" t="n">
        <v>25</v>
      </c>
      <c r="Z26" s="3" t="n"/>
      <c r="AB26" t="n">
        <v>25</v>
      </c>
      <c r="AC26" s="3" t="n"/>
      <c r="AE26" t="n">
        <v>25</v>
      </c>
      <c r="AF26" s="3" t="n"/>
      <c r="AH26" t="n">
        <v>25</v>
      </c>
      <c r="AI26" s="3" t="n"/>
    </row>
    <row r="27">
      <c r="A27" t="n">
        <v>26</v>
      </c>
      <c r="D27" t="n">
        <v>26</v>
      </c>
      <c r="E27" s="3" t="n"/>
      <c r="G27" t="n">
        <v>26</v>
      </c>
      <c r="H27" s="3" t="n"/>
      <c r="J27" t="n">
        <v>26</v>
      </c>
      <c r="K27" s="3" t="n"/>
      <c r="M27" t="n">
        <v>26</v>
      </c>
      <c r="N27" s="3" t="n"/>
      <c r="P27" t="n">
        <v>26</v>
      </c>
      <c r="Q27" s="3" t="n"/>
      <c r="S27" t="n">
        <v>26</v>
      </c>
      <c r="T27" s="3" t="n"/>
      <c r="V27" t="n">
        <v>26</v>
      </c>
      <c r="W27" s="3" t="n"/>
      <c r="Y27" t="n">
        <v>26</v>
      </c>
      <c r="Z27" s="3" t="n"/>
      <c r="AB27" t="n">
        <v>26</v>
      </c>
      <c r="AC27" s="3" t="n"/>
      <c r="AE27" t="n">
        <v>26</v>
      </c>
      <c r="AF27" s="3" t="n"/>
      <c r="AH27" t="n">
        <v>26</v>
      </c>
      <c r="AI27" s="3" t="n"/>
    </row>
    <row r="28">
      <c r="A28" t="n">
        <v>27</v>
      </c>
      <c r="D28" t="n">
        <v>27</v>
      </c>
      <c r="E28" s="3" t="n">
        <v>-629</v>
      </c>
      <c r="G28" t="n">
        <v>27</v>
      </c>
      <c r="H28" s="3" t="n"/>
      <c r="J28" t="n">
        <v>27</v>
      </c>
      <c r="K28" s="3" t="n"/>
      <c r="M28" t="n">
        <v>27</v>
      </c>
      <c r="N28" s="3" t="n"/>
      <c r="P28" t="n">
        <v>27</v>
      </c>
      <c r="Q28" s="3" t="n"/>
      <c r="S28" t="n">
        <v>27</v>
      </c>
      <c r="T28" s="3" t="n"/>
      <c r="V28" t="n">
        <v>27</v>
      </c>
      <c r="W28" s="3" t="n"/>
      <c r="Y28" t="n">
        <v>27</v>
      </c>
      <c r="Z28" s="3" t="n"/>
      <c r="AB28" t="n">
        <v>27</v>
      </c>
      <c r="AC28" s="3" t="n"/>
      <c r="AE28" t="n">
        <v>27</v>
      </c>
      <c r="AF28" s="3" t="n"/>
      <c r="AH28" t="n">
        <v>27</v>
      </c>
      <c r="AI28" s="3" t="n"/>
    </row>
    <row r="29">
      <c r="A29" t="n">
        <v>28</v>
      </c>
      <c r="D29" t="n">
        <v>28</v>
      </c>
      <c r="E29" s="3" t="n"/>
      <c r="G29" t="n">
        <v>28</v>
      </c>
      <c r="H29" s="3" t="n"/>
      <c r="J29" t="n">
        <v>28</v>
      </c>
      <c r="K29" s="3" t="n"/>
      <c r="M29" t="n">
        <v>28</v>
      </c>
      <c r="N29" s="3" t="n"/>
      <c r="P29" t="n">
        <v>28</v>
      </c>
      <c r="Q29" s="3" t="n"/>
      <c r="S29" t="n">
        <v>28</v>
      </c>
      <c r="T29" s="3" t="n"/>
      <c r="V29" t="n">
        <v>28</v>
      </c>
      <c r="W29" s="3" t="n"/>
      <c r="Y29" t="n">
        <v>28</v>
      </c>
      <c r="Z29" s="3" t="n"/>
      <c r="AB29" t="n">
        <v>28</v>
      </c>
      <c r="AC29" s="3" t="n"/>
      <c r="AE29" t="n">
        <v>28</v>
      </c>
      <c r="AF29" s="3" t="n"/>
      <c r="AH29" t="n">
        <v>28</v>
      </c>
      <c r="AI29" s="3" t="n"/>
    </row>
    <row r="30">
      <c r="A30" t="n">
        <v>29</v>
      </c>
      <c r="D30" t="n">
        <v>29</v>
      </c>
      <c r="E30" s="3" t="n"/>
      <c r="G30" t="n">
        <v>29</v>
      </c>
      <c r="H30" s="3" t="n"/>
      <c r="J30" t="n">
        <v>29</v>
      </c>
      <c r="K30" s="3" t="n"/>
      <c r="M30" t="n">
        <v>29</v>
      </c>
      <c r="N30" s="3" t="n"/>
      <c r="P30" t="n">
        <v>29</v>
      </c>
      <c r="Q30" s="3" t="n"/>
      <c r="S30" t="n">
        <v>29</v>
      </c>
      <c r="T30" s="3" t="n"/>
      <c r="V30" t="n">
        <v>29</v>
      </c>
      <c r="W30" s="3" t="n"/>
      <c r="Y30" t="n">
        <v>29</v>
      </c>
      <c r="Z30" s="3" t="n"/>
      <c r="AB30" t="n">
        <v>29</v>
      </c>
      <c r="AC30" s="3" t="n"/>
      <c r="AE30" t="n">
        <v>29</v>
      </c>
      <c r="AF30" s="3" t="n"/>
      <c r="AH30" t="n">
        <v>29</v>
      </c>
      <c r="AI30" s="3" t="n"/>
    </row>
    <row r="31">
      <c r="A31" t="n">
        <v>30</v>
      </c>
      <c r="D31" t="n">
        <v>30</v>
      </c>
      <c r="E31" s="3" t="n"/>
      <c r="G31" t="n">
        <v>30</v>
      </c>
      <c r="H31" s="3" t="n"/>
      <c r="J31" t="n">
        <v>30</v>
      </c>
      <c r="K31" s="3" t="n"/>
      <c r="M31" t="n">
        <v>30</v>
      </c>
      <c r="N31" s="3" t="n"/>
      <c r="P31" t="n">
        <v>30</v>
      </c>
      <c r="S31" t="n">
        <v>30</v>
      </c>
      <c r="V31" t="n">
        <v>30</v>
      </c>
      <c r="Y31" t="n">
        <v>30</v>
      </c>
      <c r="AB31" t="n">
        <v>30</v>
      </c>
      <c r="AC31" s="3" t="n"/>
      <c r="AE31" t="n">
        <v>30</v>
      </c>
      <c r="AF31" s="3" t="n"/>
      <c r="AH31" t="n">
        <v>30</v>
      </c>
      <c r="AI31" s="3" t="n"/>
    </row>
    <row r="32">
      <c r="A32" t="n">
        <v>31</v>
      </c>
      <c r="D32" t="n">
        <v>31</v>
      </c>
      <c r="E32" s="3" t="n"/>
      <c r="G32" t="n">
        <v>31</v>
      </c>
      <c r="H32" s="3" t="n"/>
      <c r="J32" t="n">
        <v>31</v>
      </c>
      <c r="K32" s="3" t="n"/>
      <c r="M32" t="n">
        <v>31</v>
      </c>
      <c r="N32" s="3" t="n"/>
      <c r="P32" t="n">
        <v>31</v>
      </c>
      <c r="S32" t="n">
        <v>31</v>
      </c>
      <c r="V32" t="n">
        <v>31</v>
      </c>
      <c r="Y32" t="n">
        <v>31</v>
      </c>
      <c r="AB32" t="n">
        <v>31</v>
      </c>
      <c r="AC32" s="3" t="n"/>
      <c r="AE32" t="n">
        <v>31</v>
      </c>
      <c r="AF32" s="3" t="n"/>
      <c r="AH32" t="n">
        <v>31</v>
      </c>
      <c r="AI32" s="3" t="n"/>
    </row>
    <row r="33">
      <c r="E33" s="3" t="n"/>
      <c r="H33" s="3" t="n"/>
    </row>
    <row r="34">
      <c r="E34" s="3" t="n"/>
      <c r="H34" s="3" t="n"/>
    </row>
    <row r="35">
      <c r="A35" t="inlineStr">
        <is>
          <t>Total</t>
        </is>
      </c>
      <c r="B35" s="3">
        <f>SUM(B2:B34)</f>
        <v/>
      </c>
      <c r="E35" s="3">
        <f>SUM(E28:E34)</f>
        <v/>
      </c>
      <c r="H35" s="3">
        <f>SUM(H2:H34)</f>
        <v/>
      </c>
      <c r="K35" s="3">
        <f>SUM(K2:K34)</f>
        <v/>
      </c>
      <c r="N35" s="3">
        <f>SUM(N2:N34)</f>
        <v/>
      </c>
      <c r="Q35" s="3">
        <f>SUM(Q2:Q34)</f>
        <v/>
      </c>
      <c r="T35" s="3">
        <f>SUM(T2:T34)</f>
        <v/>
      </c>
      <c r="W35" s="3">
        <f>SUM(W2:W34)</f>
        <v/>
      </c>
      <c r="Z35" s="3">
        <f>SUM(Z2:Z34)</f>
        <v/>
      </c>
      <c r="AC35" s="3">
        <f>SUM(AC2:AC34)</f>
        <v/>
      </c>
      <c r="AF35" s="3">
        <f>SUM(AF2:AF34)</f>
        <v/>
      </c>
      <c r="AI35" s="3">
        <f>SUM(AI2:AI34)</f>
        <v/>
      </c>
    </row>
  </sheetData>
  <mergeCells count="3">
    <mergeCell ref="D1:E1"/>
    <mergeCell ref="G1:H1"/>
    <mergeCell ref="A1:B1"/>
  </mergeCells>
  <conditionalFormatting sqref="B2:B32">
    <cfRule type="cellIs" priority="44" operator="greaterThan" dxfId="0">
      <formula>0</formula>
    </cfRule>
    <cfRule type="cellIs" priority="43" operator="lessThan" dxfId="1">
      <formula>0</formula>
    </cfRule>
  </conditionalFormatting>
  <conditionalFormatting sqref="B35">
    <cfRule type="cellIs" priority="42" operator="greaterThan" dxfId="0">
      <formula>0</formula>
    </cfRule>
    <cfRule type="cellIs" priority="41" operator="lessThan" dxfId="1">
      <formula>0</formula>
    </cfRule>
  </conditionalFormatting>
  <conditionalFormatting sqref="E2:E35">
    <cfRule type="cellIs" priority="39" operator="lessThan" dxfId="1">
      <formula>0</formula>
    </cfRule>
    <cfRule type="cellIs" priority="40" operator="greaterThan" dxfId="0">
      <formula>0</formula>
    </cfRule>
  </conditionalFormatting>
  <conditionalFormatting sqref="H2:H35">
    <cfRule type="cellIs" priority="37" operator="lessThan" dxfId="1">
      <formula>0</formula>
    </cfRule>
    <cfRule type="cellIs" priority="37" operator="greaterThan" dxfId="0">
      <formula>0</formula>
    </cfRule>
  </conditionalFormatting>
  <conditionalFormatting sqref="K2:K32">
    <cfRule type="cellIs" priority="45" operator="lessThan" dxfId="1">
      <formula>0</formula>
    </cfRule>
    <cfRule type="cellIs" priority="38" operator="greaterThan" dxfId="0">
      <formula>0</formula>
    </cfRule>
  </conditionalFormatting>
  <conditionalFormatting sqref="K35">
    <cfRule type="cellIs" priority="36" operator="greaterThan" dxfId="0">
      <formula>0</formula>
    </cfRule>
    <cfRule type="cellIs" priority="35" operator="lessThan" dxfId="1">
      <formula>0</formula>
    </cfRule>
  </conditionalFormatting>
  <conditionalFormatting sqref="N2:N32">
    <cfRule type="cellIs" priority="32" operator="greaterThan" dxfId="0">
      <formula>0</formula>
    </cfRule>
    <cfRule type="cellIs" priority="31" operator="lessThan" dxfId="1">
      <formula>0</formula>
    </cfRule>
  </conditionalFormatting>
  <conditionalFormatting sqref="N35">
    <cfRule type="cellIs" priority="30" operator="greaterThan" dxfId="0">
      <formula>0</formula>
    </cfRule>
    <cfRule type="cellIs" priority="29" operator="lessThan" dxfId="1">
      <formula>0</formula>
    </cfRule>
  </conditionalFormatting>
  <conditionalFormatting sqref="Q2:Q30">
    <cfRule type="cellIs" priority="28" operator="greaterThan" dxfId="0">
      <formula>0</formula>
    </cfRule>
    <cfRule type="cellIs" priority="27" operator="lessThan" dxfId="1">
      <formula>0</formula>
    </cfRule>
  </conditionalFormatting>
  <conditionalFormatting sqref="Q35">
    <cfRule type="cellIs" priority="26" operator="greaterThan" dxfId="0">
      <formula>0</formula>
    </cfRule>
    <cfRule type="cellIs" priority="25" operator="lessThan" dxfId="1">
      <formula>0</formula>
    </cfRule>
  </conditionalFormatting>
  <conditionalFormatting sqref="T2:T30">
    <cfRule type="cellIs" priority="23" operator="lessThan" dxfId="1">
      <formula>0</formula>
    </cfRule>
    <cfRule type="cellIs" priority="24" operator="greaterThan" dxfId="0">
      <formula>0</formula>
    </cfRule>
  </conditionalFormatting>
  <conditionalFormatting sqref="T35">
    <cfRule type="cellIs" priority="22" operator="greaterThan" dxfId="0">
      <formula>0</formula>
    </cfRule>
    <cfRule type="cellIs" priority="21" operator="lessThan" dxfId="1">
      <formula>0</formula>
    </cfRule>
  </conditionalFormatting>
  <conditionalFormatting sqref="W2:W30">
    <cfRule type="cellIs" priority="20" operator="greaterThan" dxfId="0">
      <formula>0</formula>
    </cfRule>
    <cfRule type="cellIs" priority="19" operator="lessThan" dxfId="1">
      <formula>0</formula>
    </cfRule>
  </conditionalFormatting>
  <conditionalFormatting sqref="W35">
    <cfRule type="cellIs" priority="18" operator="greaterThan" dxfId="0">
      <formula>0</formula>
    </cfRule>
    <cfRule type="cellIs" priority="17" operator="lessThan" dxfId="1">
      <formula>0</formula>
    </cfRule>
  </conditionalFormatting>
  <conditionalFormatting sqref="Z2:Z30">
    <cfRule type="cellIs" priority="16" operator="greaterThan" dxfId="0">
      <formula>0</formula>
    </cfRule>
    <cfRule type="cellIs" priority="15" operator="lessThan" dxfId="1">
      <formula>0</formula>
    </cfRule>
  </conditionalFormatting>
  <conditionalFormatting sqref="Z35">
    <cfRule type="cellIs" priority="14" operator="greaterThan" dxfId="0">
      <formula>0</formula>
    </cfRule>
    <cfRule type="cellIs" priority="13" operator="lessThan" dxfId="1">
      <formula>0</formula>
    </cfRule>
  </conditionalFormatting>
  <conditionalFormatting sqref="AC2:AC32">
    <cfRule type="cellIs" priority="11" operator="lessThan" dxfId="1">
      <formula>0</formula>
    </cfRule>
    <cfRule type="cellIs" priority="12" operator="greaterThan" dxfId="0">
      <formula>0</formula>
    </cfRule>
  </conditionalFormatting>
  <conditionalFormatting sqref="AC35">
    <cfRule type="cellIs" priority="10" operator="greaterThan" dxfId="0">
      <formula>0</formula>
    </cfRule>
    <cfRule type="cellIs" priority="9" operator="lessThan" dxfId="1">
      <formula>0</formula>
    </cfRule>
  </conditionalFormatting>
  <conditionalFormatting sqref="AF2:AF32">
    <cfRule type="cellIs" priority="8" operator="greaterThan" dxfId="0">
      <formula>0</formula>
    </cfRule>
    <cfRule type="cellIs" priority="7" operator="lessThan" dxfId="1">
      <formula>0</formula>
    </cfRule>
  </conditionalFormatting>
  <conditionalFormatting sqref="AF35">
    <cfRule type="cellIs" priority="6" operator="greaterThan" dxfId="0">
      <formula>0</formula>
    </cfRule>
    <cfRule type="cellIs" priority="5" operator="lessThan" dxfId="1">
      <formula>0</formula>
    </cfRule>
  </conditionalFormatting>
  <conditionalFormatting sqref="AI2:AI32">
    <cfRule type="cellIs" priority="4" operator="greaterThan" dxfId="0">
      <formula>0</formula>
    </cfRule>
    <cfRule type="cellIs" priority="3" operator="lessThan" dxfId="1">
      <formula>0</formula>
    </cfRule>
  </conditionalFormatting>
  <conditionalFormatting sqref="AI35">
    <cfRule type="cellIs" priority="2" operator="greaterThan" dxfId="0">
      <formula>0</formula>
    </cfRule>
    <cfRule type="cellIs" priority="1" operator="lessThan" dxfId="1">
      <formula>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selection activeCell="B29" sqref="B29"/>
    </sheetView>
  </sheetViews>
  <sheetFormatPr baseColWidth="8" defaultRowHeight="15"/>
  <cols>
    <col width="18.42578125" customWidth="1" min="1" max="1"/>
    <col width="15.42578125" customWidth="1" style="3" min="2" max="2"/>
    <col width="11.5703125" customWidth="1" min="4" max="4"/>
    <col width="12.5703125" customWidth="1" min="5" max="5"/>
    <col width="11.5703125" customWidth="1" min="7" max="7"/>
    <col width="12.5703125" customWidth="1" min="8" max="8"/>
    <col width="11.5703125" customWidth="1" min="10" max="10"/>
    <col width="10.140625" bestFit="1" customWidth="1" min="11" max="11"/>
    <col width="10.42578125" bestFit="1" customWidth="1" min="13" max="13"/>
    <col width="10.85546875" bestFit="1" customWidth="1" min="14" max="14"/>
    <col width="10.85546875" bestFit="1" customWidth="1" min="17" max="17"/>
    <col width="10.85546875" bestFit="1" customWidth="1" min="20" max="20"/>
    <col width="10.85546875" bestFit="1" customWidth="1" min="23" max="23"/>
    <col width="10.85546875" bestFit="1" customWidth="1" min="26" max="26"/>
    <col width="10.85546875" bestFit="1" customWidth="1" min="29" max="29"/>
    <col width="10.85546875" bestFit="1" customWidth="1" min="32" max="32"/>
    <col width="10.140625" bestFit="1" customWidth="1" min="35" max="35"/>
  </cols>
  <sheetData>
    <row r="1" customFormat="1" s="2">
      <c r="A1" s="9" t="inlineStr">
        <is>
          <t>January</t>
        </is>
      </c>
      <c r="D1" s="9" t="inlineStr">
        <is>
          <t>February</t>
        </is>
      </c>
      <c r="G1" s="9" t="inlineStr">
        <is>
          <t>March</t>
        </is>
      </c>
      <c r="J1" s="2" t="inlineStr">
        <is>
          <t>April</t>
        </is>
      </c>
      <c r="M1" s="2" t="inlineStr">
        <is>
          <t>May</t>
        </is>
      </c>
      <c r="P1" s="2" t="inlineStr">
        <is>
          <t>Jun</t>
        </is>
      </c>
      <c r="S1" s="2" t="inlineStr">
        <is>
          <t>Jul</t>
        </is>
      </c>
      <c r="V1" s="2" t="inlineStr">
        <is>
          <t>Aug</t>
        </is>
      </c>
      <c r="Y1" s="2" t="inlineStr">
        <is>
          <t>Sep</t>
        </is>
      </c>
      <c r="AB1" s="2" t="inlineStr">
        <is>
          <t>Oct</t>
        </is>
      </c>
      <c r="AE1" s="2" t="inlineStr">
        <is>
          <t>Nov</t>
        </is>
      </c>
      <c r="AH1" s="2" t="inlineStr">
        <is>
          <t>Dec</t>
        </is>
      </c>
    </row>
    <row r="2">
      <c r="A2" t="n">
        <v>1</v>
      </c>
      <c r="D2" t="n">
        <v>1</v>
      </c>
      <c r="E2" s="3" t="n"/>
      <c r="G2" t="n">
        <v>1</v>
      </c>
      <c r="H2" s="3" t="n"/>
      <c r="J2" t="n">
        <v>1</v>
      </c>
      <c r="K2" s="3" t="n"/>
      <c r="M2" t="n">
        <v>1</v>
      </c>
      <c r="N2" s="3" t="n"/>
      <c r="P2" t="n">
        <v>1</v>
      </c>
      <c r="Q2" s="3" t="n"/>
      <c r="S2" t="n">
        <v>1</v>
      </c>
      <c r="T2" s="3" t="n"/>
      <c r="V2" t="n">
        <v>1</v>
      </c>
      <c r="W2" s="3" t="n"/>
      <c r="Y2" t="n">
        <v>1</v>
      </c>
      <c r="Z2" s="3" t="n"/>
      <c r="AB2" t="n">
        <v>1</v>
      </c>
      <c r="AC2" s="3" t="n"/>
      <c r="AE2" t="n">
        <v>1</v>
      </c>
      <c r="AF2" s="3" t="n"/>
      <c r="AH2" t="n">
        <v>1</v>
      </c>
      <c r="AI2" s="3" t="n"/>
    </row>
    <row r="3">
      <c r="A3" t="n">
        <v>2</v>
      </c>
      <c r="D3" t="n">
        <v>2</v>
      </c>
      <c r="E3" s="3" t="n"/>
      <c r="G3" t="n">
        <v>2</v>
      </c>
      <c r="H3" s="3" t="n"/>
      <c r="J3" t="n">
        <v>2</v>
      </c>
      <c r="K3" s="3" t="n"/>
      <c r="M3" t="n">
        <v>2</v>
      </c>
      <c r="N3" s="3" t="n"/>
      <c r="P3" t="n">
        <v>2</v>
      </c>
      <c r="Q3" s="3" t="n"/>
      <c r="S3" t="n">
        <v>2</v>
      </c>
      <c r="T3" s="3" t="n"/>
      <c r="V3" t="n">
        <v>2</v>
      </c>
      <c r="W3" s="3" t="n"/>
      <c r="Y3" t="n">
        <v>2</v>
      </c>
      <c r="Z3" s="3" t="n"/>
      <c r="AB3" t="n">
        <v>2</v>
      </c>
      <c r="AC3" s="3" t="n"/>
      <c r="AE3" t="n">
        <v>2</v>
      </c>
      <c r="AF3" s="3" t="n"/>
      <c r="AH3" t="n">
        <v>2</v>
      </c>
      <c r="AI3" s="3" t="n"/>
    </row>
    <row r="4">
      <c r="A4" t="n">
        <v>3</v>
      </c>
      <c r="D4" t="n">
        <v>3</v>
      </c>
      <c r="E4" s="3" t="n"/>
      <c r="G4" t="n">
        <v>3</v>
      </c>
      <c r="H4" s="3" t="n"/>
      <c r="J4" t="n">
        <v>3</v>
      </c>
      <c r="K4" s="3" t="n"/>
      <c r="M4" t="n">
        <v>3</v>
      </c>
      <c r="N4" s="3" t="n"/>
      <c r="P4" t="n">
        <v>3</v>
      </c>
      <c r="Q4" s="3" t="n"/>
      <c r="S4" t="n">
        <v>3</v>
      </c>
      <c r="T4" s="3" t="n"/>
      <c r="V4" t="n">
        <v>3</v>
      </c>
      <c r="W4" s="3" t="n"/>
      <c r="Y4" t="n">
        <v>3</v>
      </c>
      <c r="Z4" s="3" t="n"/>
      <c r="AB4" t="n">
        <v>3</v>
      </c>
      <c r="AC4" s="3" t="n"/>
      <c r="AE4" t="n">
        <v>3</v>
      </c>
      <c r="AF4" s="3" t="n"/>
      <c r="AH4" t="n">
        <v>3</v>
      </c>
      <c r="AI4" s="3" t="n"/>
    </row>
    <row r="5">
      <c r="A5" t="n">
        <v>4</v>
      </c>
      <c r="D5" t="n">
        <v>4</v>
      </c>
      <c r="E5" s="3" t="n"/>
      <c r="G5" t="n">
        <v>4</v>
      </c>
      <c r="H5" s="3" t="n"/>
      <c r="J5" t="n">
        <v>4</v>
      </c>
      <c r="K5" s="3" t="n"/>
      <c r="M5" t="n">
        <v>4</v>
      </c>
      <c r="N5" s="3" t="n"/>
      <c r="P5" t="n">
        <v>4</v>
      </c>
      <c r="Q5" s="3" t="n"/>
      <c r="S5" t="n">
        <v>4</v>
      </c>
      <c r="T5" s="3" t="n"/>
      <c r="V5" t="n">
        <v>4</v>
      </c>
      <c r="W5" s="3" t="n"/>
      <c r="Y5" t="n">
        <v>4</v>
      </c>
      <c r="Z5" s="3" t="n"/>
      <c r="AB5" t="n">
        <v>4</v>
      </c>
      <c r="AC5" s="3" t="n"/>
      <c r="AE5" t="n">
        <v>4</v>
      </c>
      <c r="AF5" s="3" t="n"/>
      <c r="AH5" t="n">
        <v>4</v>
      </c>
      <c r="AI5" s="3" t="n"/>
    </row>
    <row r="6">
      <c r="A6" t="n">
        <v>5</v>
      </c>
      <c r="D6" t="n">
        <v>5</v>
      </c>
      <c r="E6" s="3" t="n"/>
      <c r="G6" t="n">
        <v>5</v>
      </c>
      <c r="H6" s="3" t="n"/>
      <c r="J6" t="n">
        <v>5</v>
      </c>
      <c r="K6" s="3" t="n"/>
      <c r="M6" t="n">
        <v>5</v>
      </c>
      <c r="N6" s="3" t="n"/>
      <c r="P6" t="n">
        <v>5</v>
      </c>
      <c r="Q6" s="3" t="n"/>
      <c r="S6" t="n">
        <v>5</v>
      </c>
      <c r="T6" s="3" t="n"/>
      <c r="V6" t="n">
        <v>5</v>
      </c>
      <c r="W6" s="3" t="n"/>
      <c r="Y6" t="n">
        <v>5</v>
      </c>
      <c r="Z6" s="3" t="n"/>
      <c r="AB6" t="n">
        <v>5</v>
      </c>
      <c r="AC6" s="3" t="n"/>
      <c r="AE6" t="n">
        <v>5</v>
      </c>
      <c r="AF6" s="3" t="n"/>
      <c r="AH6" t="n">
        <v>5</v>
      </c>
      <c r="AI6" s="3" t="n"/>
    </row>
    <row r="7">
      <c r="A7" t="n">
        <v>6</v>
      </c>
      <c r="D7" t="n">
        <v>6</v>
      </c>
      <c r="E7" s="3" t="n"/>
      <c r="G7" t="n">
        <v>6</v>
      </c>
      <c r="H7" s="3" t="n"/>
      <c r="J7" t="n">
        <v>6</v>
      </c>
      <c r="K7" s="3" t="n"/>
      <c r="M7" t="n">
        <v>6</v>
      </c>
      <c r="N7" s="3" t="n"/>
      <c r="P7" t="n">
        <v>6</v>
      </c>
      <c r="Q7" s="3" t="n"/>
      <c r="S7" t="n">
        <v>6</v>
      </c>
      <c r="T7" s="3" t="n"/>
      <c r="V7" t="n">
        <v>6</v>
      </c>
      <c r="W7" s="3" t="n"/>
      <c r="Y7" t="n">
        <v>6</v>
      </c>
      <c r="Z7" s="3" t="n"/>
      <c r="AB7" t="n">
        <v>6</v>
      </c>
      <c r="AC7" s="3" t="n"/>
      <c r="AE7" t="n">
        <v>6</v>
      </c>
      <c r="AF7" s="3" t="n"/>
      <c r="AH7" t="n">
        <v>6</v>
      </c>
      <c r="AI7" s="3" t="n"/>
    </row>
    <row r="8">
      <c r="A8" t="n">
        <v>7</v>
      </c>
      <c r="D8" t="n">
        <v>7</v>
      </c>
      <c r="E8" s="3" t="n"/>
      <c r="G8" t="n">
        <v>7</v>
      </c>
      <c r="H8" s="3" t="n"/>
      <c r="J8" t="n">
        <v>7</v>
      </c>
      <c r="K8" s="3" t="n"/>
      <c r="M8" t="n">
        <v>7</v>
      </c>
      <c r="N8" s="3" t="n"/>
      <c r="P8" t="n">
        <v>7</v>
      </c>
      <c r="Q8" s="3" t="n"/>
      <c r="S8" t="n">
        <v>7</v>
      </c>
      <c r="T8" s="3" t="n"/>
      <c r="V8" t="n">
        <v>7</v>
      </c>
      <c r="W8" s="3" t="n"/>
      <c r="Y8" t="n">
        <v>7</v>
      </c>
      <c r="Z8" s="3" t="n"/>
      <c r="AB8" t="n">
        <v>7</v>
      </c>
      <c r="AC8" s="3" t="n"/>
      <c r="AE8" t="n">
        <v>7</v>
      </c>
      <c r="AF8" s="3" t="n"/>
      <c r="AH8" t="n">
        <v>7</v>
      </c>
      <c r="AI8" s="3" t="n"/>
    </row>
    <row r="9">
      <c r="A9" t="n">
        <v>8</v>
      </c>
      <c r="D9" t="n">
        <v>8</v>
      </c>
      <c r="E9" s="3" t="n"/>
      <c r="G9" t="n">
        <v>8</v>
      </c>
      <c r="H9" s="3" t="n"/>
      <c r="J9" t="n">
        <v>8</v>
      </c>
      <c r="K9" s="3" t="n"/>
      <c r="M9" t="n">
        <v>8</v>
      </c>
      <c r="N9" s="3" t="n"/>
      <c r="P9" t="n">
        <v>8</v>
      </c>
      <c r="Q9" s="3" t="n"/>
      <c r="S9" t="n">
        <v>8</v>
      </c>
      <c r="T9" s="3" t="n"/>
      <c r="V9" t="n">
        <v>8</v>
      </c>
      <c r="W9" s="3" t="n"/>
      <c r="Y9" t="n">
        <v>8</v>
      </c>
      <c r="Z9" s="3" t="n"/>
      <c r="AB9" t="n">
        <v>8</v>
      </c>
      <c r="AC9" s="3" t="n"/>
      <c r="AE9" t="n">
        <v>8</v>
      </c>
      <c r="AF9" s="3" t="n"/>
      <c r="AH9" t="n">
        <v>8</v>
      </c>
      <c r="AI9" s="3" t="n"/>
    </row>
    <row r="10">
      <c r="A10" t="n">
        <v>9</v>
      </c>
      <c r="D10" t="n">
        <v>9</v>
      </c>
      <c r="E10" s="3" t="n"/>
      <c r="G10" t="n">
        <v>9</v>
      </c>
      <c r="H10" s="3" t="n"/>
      <c r="J10" t="n">
        <v>9</v>
      </c>
      <c r="K10" s="3" t="n"/>
      <c r="M10" t="n">
        <v>9</v>
      </c>
      <c r="N10" s="3" t="n"/>
      <c r="P10" t="n">
        <v>9</v>
      </c>
      <c r="Q10" s="3" t="n"/>
      <c r="S10" t="n">
        <v>9</v>
      </c>
      <c r="T10" s="3" t="n"/>
      <c r="V10" t="n">
        <v>9</v>
      </c>
      <c r="W10" s="3" t="n"/>
      <c r="Y10" t="n">
        <v>9</v>
      </c>
      <c r="Z10" s="3" t="n"/>
      <c r="AB10" t="n">
        <v>9</v>
      </c>
      <c r="AC10" s="3" t="n"/>
      <c r="AE10" t="n">
        <v>9</v>
      </c>
      <c r="AF10" s="3" t="n"/>
      <c r="AH10" t="n">
        <v>9</v>
      </c>
      <c r="AI10" s="3" t="n"/>
    </row>
    <row r="11">
      <c r="A11" t="n">
        <v>10</v>
      </c>
      <c r="D11" t="n">
        <v>10</v>
      </c>
      <c r="E11" s="3" t="n"/>
      <c r="G11" t="n">
        <v>10</v>
      </c>
      <c r="H11" s="3" t="n"/>
      <c r="J11" t="n">
        <v>10</v>
      </c>
      <c r="K11" s="3" t="n"/>
      <c r="M11" t="n">
        <v>10</v>
      </c>
      <c r="N11" s="3" t="n"/>
      <c r="P11" t="n">
        <v>10</v>
      </c>
      <c r="Q11" s="3" t="n"/>
      <c r="S11" t="n">
        <v>10</v>
      </c>
      <c r="T11" s="3" t="n"/>
      <c r="V11" t="n">
        <v>10</v>
      </c>
      <c r="W11" s="3" t="n"/>
      <c r="Y11" t="n">
        <v>10</v>
      </c>
      <c r="Z11" s="3" t="n"/>
      <c r="AB11" t="n">
        <v>10</v>
      </c>
      <c r="AC11" s="3" t="n"/>
      <c r="AE11" t="n">
        <v>10</v>
      </c>
      <c r="AF11" s="3" t="n"/>
      <c r="AH11" t="n">
        <v>10</v>
      </c>
      <c r="AI11" s="3" t="n"/>
    </row>
    <row r="12">
      <c r="A12" t="n">
        <v>11</v>
      </c>
      <c r="D12" t="n">
        <v>11</v>
      </c>
      <c r="E12" s="3" t="n"/>
      <c r="G12" t="n">
        <v>11</v>
      </c>
      <c r="H12" s="3" t="n"/>
      <c r="J12" t="n">
        <v>11</v>
      </c>
      <c r="K12" s="3" t="n"/>
      <c r="M12" t="n">
        <v>11</v>
      </c>
      <c r="N12" s="3" t="n"/>
      <c r="P12" t="n">
        <v>11</v>
      </c>
      <c r="Q12" s="3" t="n"/>
      <c r="S12" t="n">
        <v>11</v>
      </c>
      <c r="T12" s="3" t="n"/>
      <c r="V12" t="n">
        <v>11</v>
      </c>
      <c r="W12" s="3" t="n"/>
      <c r="Y12" t="n">
        <v>11</v>
      </c>
      <c r="Z12" s="3" t="n"/>
      <c r="AB12" t="n">
        <v>11</v>
      </c>
      <c r="AC12" s="3" t="n"/>
      <c r="AE12" t="n">
        <v>11</v>
      </c>
      <c r="AF12" s="3" t="n"/>
      <c r="AH12" t="n">
        <v>11</v>
      </c>
      <c r="AI12" s="3" t="n"/>
    </row>
    <row r="13">
      <c r="A13" t="n">
        <v>12</v>
      </c>
      <c r="D13" t="n">
        <v>12</v>
      </c>
      <c r="E13" s="3" t="n"/>
      <c r="G13" t="n">
        <v>12</v>
      </c>
      <c r="H13" s="3" t="n"/>
      <c r="J13" t="n">
        <v>12</v>
      </c>
      <c r="K13" s="3" t="n"/>
      <c r="M13" t="n">
        <v>12</v>
      </c>
      <c r="N13" s="3" t="n"/>
      <c r="P13" t="n">
        <v>12</v>
      </c>
      <c r="Q13" s="3" t="n"/>
      <c r="S13" t="n">
        <v>12</v>
      </c>
      <c r="T13" s="3" t="n"/>
      <c r="V13" t="n">
        <v>12</v>
      </c>
      <c r="W13" s="3" t="n"/>
      <c r="Y13" t="n">
        <v>12</v>
      </c>
      <c r="Z13" s="3" t="n"/>
      <c r="AB13" t="n">
        <v>12</v>
      </c>
      <c r="AC13" s="3" t="n"/>
      <c r="AE13" t="n">
        <v>12</v>
      </c>
      <c r="AF13" s="3" t="n"/>
      <c r="AH13" t="n">
        <v>12</v>
      </c>
      <c r="AI13" s="3" t="n"/>
    </row>
    <row r="14">
      <c r="A14" t="n">
        <v>13</v>
      </c>
      <c r="D14" t="n">
        <v>13</v>
      </c>
      <c r="E14" s="3" t="n"/>
      <c r="G14" t="n">
        <v>13</v>
      </c>
      <c r="H14" s="3" t="n"/>
      <c r="J14" t="n">
        <v>13</v>
      </c>
      <c r="K14" s="3" t="n"/>
      <c r="M14" t="n">
        <v>13</v>
      </c>
      <c r="N14" s="3" t="n"/>
      <c r="P14" t="n">
        <v>13</v>
      </c>
      <c r="Q14" s="3" t="n"/>
      <c r="S14" t="n">
        <v>13</v>
      </c>
      <c r="T14" s="3" t="n"/>
      <c r="V14" t="n">
        <v>13</v>
      </c>
      <c r="W14" s="3" t="n"/>
      <c r="Y14" t="n">
        <v>13</v>
      </c>
      <c r="Z14" s="3" t="n"/>
      <c r="AB14" t="n">
        <v>13</v>
      </c>
      <c r="AC14" s="3" t="n"/>
      <c r="AE14" t="n">
        <v>13</v>
      </c>
      <c r="AF14" s="3" t="n"/>
      <c r="AH14" t="n">
        <v>13</v>
      </c>
      <c r="AI14" s="3" t="n"/>
    </row>
    <row r="15">
      <c r="A15" t="n">
        <v>14</v>
      </c>
      <c r="D15" t="n">
        <v>14</v>
      </c>
      <c r="E15" s="3" t="n"/>
      <c r="G15" t="n">
        <v>14</v>
      </c>
      <c r="H15" s="3" t="n"/>
      <c r="J15" t="n">
        <v>14</v>
      </c>
      <c r="K15" s="3" t="n"/>
      <c r="M15" t="n">
        <v>14</v>
      </c>
      <c r="N15" s="3" t="n"/>
      <c r="P15" t="n">
        <v>14</v>
      </c>
      <c r="Q15" s="3" t="n"/>
      <c r="S15" t="n">
        <v>14</v>
      </c>
      <c r="T15" s="3" t="n"/>
      <c r="V15" t="n">
        <v>14</v>
      </c>
      <c r="W15" s="3" t="n"/>
      <c r="Y15" t="n">
        <v>14</v>
      </c>
      <c r="Z15" s="3" t="n"/>
      <c r="AB15" t="n">
        <v>14</v>
      </c>
      <c r="AC15" s="3" t="n"/>
      <c r="AE15" t="n">
        <v>14</v>
      </c>
      <c r="AF15" s="3" t="n"/>
      <c r="AH15" t="n">
        <v>14</v>
      </c>
      <c r="AI15" s="3" t="n"/>
    </row>
    <row r="16">
      <c r="A16" t="n">
        <v>15</v>
      </c>
      <c r="D16" t="n">
        <v>15</v>
      </c>
      <c r="E16" s="3" t="n"/>
      <c r="G16" t="n">
        <v>15</v>
      </c>
      <c r="H16" s="3" t="n"/>
      <c r="J16" t="n">
        <v>15</v>
      </c>
      <c r="K16" s="3" t="n"/>
      <c r="M16" t="n">
        <v>15</v>
      </c>
      <c r="N16" s="3" t="n"/>
      <c r="P16" t="n">
        <v>15</v>
      </c>
      <c r="Q16" s="3" t="n"/>
      <c r="S16" t="n">
        <v>15</v>
      </c>
      <c r="T16" s="3" t="n"/>
      <c r="V16" t="n">
        <v>15</v>
      </c>
      <c r="W16" s="3" t="n"/>
      <c r="Y16" t="n">
        <v>15</v>
      </c>
      <c r="Z16" s="3" t="n"/>
      <c r="AB16" t="n">
        <v>15</v>
      </c>
      <c r="AC16" s="3" t="n"/>
      <c r="AE16" t="n">
        <v>15</v>
      </c>
      <c r="AF16" s="3" t="n"/>
      <c r="AH16" t="n">
        <v>15</v>
      </c>
      <c r="AI16" s="3" t="n"/>
    </row>
    <row r="17">
      <c r="A17" t="n">
        <v>16</v>
      </c>
      <c r="D17" t="n">
        <v>16</v>
      </c>
      <c r="E17" s="3" t="n"/>
      <c r="G17" t="n">
        <v>16</v>
      </c>
      <c r="H17" s="3" t="n"/>
      <c r="J17" t="n">
        <v>16</v>
      </c>
      <c r="K17" s="3" t="n"/>
      <c r="M17" t="n">
        <v>16</v>
      </c>
      <c r="N17" s="3" t="n"/>
      <c r="P17" t="n">
        <v>16</v>
      </c>
      <c r="Q17" s="3" t="n"/>
      <c r="S17" t="n">
        <v>16</v>
      </c>
      <c r="T17" s="3" t="n"/>
      <c r="V17" t="n">
        <v>16</v>
      </c>
      <c r="W17" s="3" t="n"/>
      <c r="Y17" t="n">
        <v>16</v>
      </c>
      <c r="Z17" s="3" t="n"/>
      <c r="AB17" t="n">
        <v>16</v>
      </c>
      <c r="AC17" s="3" t="n"/>
      <c r="AE17" t="n">
        <v>16</v>
      </c>
      <c r="AF17" s="3" t="n"/>
      <c r="AH17" t="n">
        <v>16</v>
      </c>
      <c r="AI17" s="3" t="n"/>
    </row>
    <row r="18">
      <c r="A18" t="n">
        <v>17</v>
      </c>
      <c r="D18" t="n">
        <v>17</v>
      </c>
      <c r="E18" s="3" t="n"/>
      <c r="G18" t="n">
        <v>17</v>
      </c>
      <c r="H18" s="3" t="n"/>
      <c r="J18" t="n">
        <v>17</v>
      </c>
      <c r="K18" s="3" t="n"/>
      <c r="M18" t="n">
        <v>17</v>
      </c>
      <c r="N18" s="3" t="n"/>
      <c r="P18" t="n">
        <v>17</v>
      </c>
      <c r="Q18" s="3" t="n"/>
      <c r="S18" t="n">
        <v>17</v>
      </c>
      <c r="T18" s="3" t="n"/>
      <c r="V18" t="n">
        <v>17</v>
      </c>
      <c r="W18" s="3" t="n"/>
      <c r="Y18" t="n">
        <v>17</v>
      </c>
      <c r="Z18" s="3" t="n"/>
      <c r="AB18" t="n">
        <v>17</v>
      </c>
      <c r="AC18" s="3" t="n"/>
      <c r="AE18" t="n">
        <v>17</v>
      </c>
      <c r="AF18" s="3" t="n"/>
      <c r="AH18" t="n">
        <v>17</v>
      </c>
      <c r="AI18" s="3" t="n"/>
    </row>
    <row r="19">
      <c r="A19" t="n">
        <v>18</v>
      </c>
      <c r="D19" t="n">
        <v>18</v>
      </c>
      <c r="E19" s="3" t="n"/>
      <c r="G19" t="n">
        <v>18</v>
      </c>
      <c r="H19" s="3" t="n"/>
      <c r="J19" t="n">
        <v>18</v>
      </c>
      <c r="K19" s="3" t="n"/>
      <c r="M19" t="n">
        <v>18</v>
      </c>
      <c r="N19" s="3" t="n"/>
      <c r="P19" t="n">
        <v>18</v>
      </c>
      <c r="Q19" s="3" t="n"/>
      <c r="S19" t="n">
        <v>18</v>
      </c>
      <c r="T19" s="3" t="n"/>
      <c r="V19" t="n">
        <v>18</v>
      </c>
      <c r="W19" s="3" t="n"/>
      <c r="Y19" t="n">
        <v>18</v>
      </c>
      <c r="Z19" s="3" t="n"/>
      <c r="AB19" t="n">
        <v>18</v>
      </c>
      <c r="AC19" s="3" t="n"/>
      <c r="AE19" t="n">
        <v>18</v>
      </c>
      <c r="AF19" s="3" t="n"/>
      <c r="AH19" t="n">
        <v>18</v>
      </c>
      <c r="AI19" s="3" t="n"/>
    </row>
    <row r="20">
      <c r="A20" t="n">
        <v>19</v>
      </c>
      <c r="D20" t="n">
        <v>19</v>
      </c>
      <c r="E20" s="3" t="n"/>
      <c r="G20" t="n">
        <v>19</v>
      </c>
      <c r="H20" s="3" t="n"/>
      <c r="J20" t="n">
        <v>19</v>
      </c>
      <c r="K20" s="3" t="n"/>
      <c r="M20" t="n">
        <v>19</v>
      </c>
      <c r="N20" s="3" t="n"/>
      <c r="P20" t="n">
        <v>19</v>
      </c>
      <c r="Q20" s="3" t="n"/>
      <c r="S20" t="n">
        <v>19</v>
      </c>
      <c r="T20" s="3" t="n"/>
      <c r="V20" t="n">
        <v>19</v>
      </c>
      <c r="W20" s="3" t="n"/>
      <c r="Y20" t="n">
        <v>19</v>
      </c>
      <c r="Z20" s="3" t="n"/>
      <c r="AB20" t="n">
        <v>19</v>
      </c>
      <c r="AC20" s="3" t="n"/>
      <c r="AE20" t="n">
        <v>19</v>
      </c>
      <c r="AF20" s="3" t="n"/>
      <c r="AH20" t="n">
        <v>19</v>
      </c>
      <c r="AI20" s="3" t="n"/>
    </row>
    <row r="21">
      <c r="A21" t="n">
        <v>20</v>
      </c>
      <c r="D21" t="n">
        <v>20</v>
      </c>
      <c r="E21" s="3" t="n"/>
      <c r="G21" t="n">
        <v>20</v>
      </c>
      <c r="H21" s="3" t="n"/>
      <c r="J21" t="n">
        <v>20</v>
      </c>
      <c r="K21" s="3" t="n"/>
      <c r="M21" t="n">
        <v>20</v>
      </c>
      <c r="N21" s="3" t="n"/>
      <c r="P21" t="n">
        <v>20</v>
      </c>
      <c r="Q21" s="3" t="n"/>
      <c r="S21" t="n">
        <v>20</v>
      </c>
      <c r="T21" s="3" t="n"/>
      <c r="V21" t="n">
        <v>20</v>
      </c>
      <c r="W21" s="3" t="n"/>
      <c r="Y21" t="n">
        <v>20</v>
      </c>
      <c r="Z21" s="3" t="n"/>
      <c r="AB21" t="n">
        <v>20</v>
      </c>
      <c r="AC21" s="3" t="n"/>
      <c r="AE21" t="n">
        <v>20</v>
      </c>
      <c r="AF21" s="3" t="n"/>
      <c r="AH21" t="n">
        <v>20</v>
      </c>
      <c r="AI21" s="3" t="n"/>
    </row>
    <row r="22">
      <c r="A22" t="n">
        <v>21</v>
      </c>
      <c r="D22" t="n">
        <v>21</v>
      </c>
      <c r="E22" s="3" t="n"/>
      <c r="G22" t="n">
        <v>21</v>
      </c>
      <c r="H22" s="3" t="n"/>
      <c r="J22" t="n">
        <v>21</v>
      </c>
      <c r="K22" s="3" t="n"/>
      <c r="M22" t="n">
        <v>21</v>
      </c>
      <c r="N22" s="3" t="n"/>
      <c r="P22" t="n">
        <v>21</v>
      </c>
      <c r="Q22" s="3" t="n"/>
      <c r="S22" t="n">
        <v>21</v>
      </c>
      <c r="T22" s="3" t="n"/>
      <c r="V22" t="n">
        <v>21</v>
      </c>
      <c r="W22" s="3" t="n"/>
      <c r="Y22" t="n">
        <v>21</v>
      </c>
      <c r="Z22" s="3" t="n"/>
      <c r="AB22" t="n">
        <v>21</v>
      </c>
      <c r="AC22" s="3" t="n"/>
      <c r="AE22" t="n">
        <v>21</v>
      </c>
      <c r="AF22" s="3" t="n"/>
      <c r="AH22" t="n">
        <v>21</v>
      </c>
      <c r="AI22" s="3" t="n"/>
    </row>
    <row r="23">
      <c r="A23" t="n">
        <v>22</v>
      </c>
      <c r="D23" t="n">
        <v>22</v>
      </c>
      <c r="E23" s="3" t="n"/>
      <c r="G23" t="n">
        <v>22</v>
      </c>
      <c r="H23" s="3" t="n"/>
      <c r="J23" t="n">
        <v>22</v>
      </c>
      <c r="K23" s="3" t="n"/>
      <c r="M23" t="n">
        <v>22</v>
      </c>
      <c r="N23" s="3" t="n"/>
      <c r="P23" t="n">
        <v>22</v>
      </c>
      <c r="Q23" s="3" t="n"/>
      <c r="S23" t="n">
        <v>22</v>
      </c>
      <c r="T23" s="3" t="n"/>
      <c r="V23" t="n">
        <v>22</v>
      </c>
      <c r="W23" s="3" t="n"/>
      <c r="Y23" t="n">
        <v>22</v>
      </c>
      <c r="Z23" s="3" t="n"/>
      <c r="AB23" t="n">
        <v>22</v>
      </c>
      <c r="AC23" s="3" t="n"/>
      <c r="AE23" t="n">
        <v>22</v>
      </c>
      <c r="AF23" s="3" t="n"/>
      <c r="AH23" t="n">
        <v>22</v>
      </c>
      <c r="AI23" s="3" t="n"/>
    </row>
    <row r="24">
      <c r="A24" t="n">
        <v>23</v>
      </c>
      <c r="D24" t="n">
        <v>23</v>
      </c>
      <c r="E24" s="3" t="n"/>
      <c r="G24" t="n">
        <v>23</v>
      </c>
      <c r="H24" s="3" t="n"/>
      <c r="J24" t="n">
        <v>23</v>
      </c>
      <c r="K24" s="3" t="n"/>
      <c r="M24" t="n">
        <v>23</v>
      </c>
      <c r="N24" s="3" t="n"/>
      <c r="P24" t="n">
        <v>23</v>
      </c>
      <c r="Q24" s="3" t="n"/>
      <c r="S24" t="n">
        <v>23</v>
      </c>
      <c r="T24" s="3" t="n"/>
      <c r="V24" t="n">
        <v>23</v>
      </c>
      <c r="W24" s="3" t="n"/>
      <c r="Y24" t="n">
        <v>23</v>
      </c>
      <c r="Z24" s="3" t="n"/>
      <c r="AB24" t="n">
        <v>23</v>
      </c>
      <c r="AC24" s="3" t="n"/>
      <c r="AE24" t="n">
        <v>23</v>
      </c>
      <c r="AF24" s="3" t="n"/>
      <c r="AH24" t="n">
        <v>23</v>
      </c>
      <c r="AI24" s="3" t="n"/>
    </row>
    <row r="25">
      <c r="A25" t="n">
        <v>24</v>
      </c>
      <c r="D25" t="n">
        <v>24</v>
      </c>
      <c r="E25" s="3" t="n"/>
      <c r="G25" t="n">
        <v>24</v>
      </c>
      <c r="H25" s="3" t="n"/>
      <c r="J25" t="n">
        <v>24</v>
      </c>
      <c r="K25" s="3" t="n"/>
      <c r="M25" t="n">
        <v>24</v>
      </c>
      <c r="N25" s="3" t="n"/>
      <c r="P25" t="n">
        <v>24</v>
      </c>
      <c r="Q25" s="3" t="n"/>
      <c r="S25" t="n">
        <v>24</v>
      </c>
      <c r="T25" s="3" t="n"/>
      <c r="V25" t="n">
        <v>24</v>
      </c>
      <c r="W25" s="3" t="n"/>
      <c r="Y25" t="n">
        <v>24</v>
      </c>
      <c r="Z25" s="3" t="n"/>
      <c r="AB25" t="n">
        <v>24</v>
      </c>
      <c r="AC25" s="3" t="n"/>
      <c r="AE25" t="n">
        <v>24</v>
      </c>
      <c r="AF25" s="3" t="n"/>
      <c r="AH25" t="n">
        <v>24</v>
      </c>
      <c r="AI25" s="3" t="n"/>
    </row>
    <row r="26">
      <c r="A26" t="n">
        <v>25</v>
      </c>
      <c r="D26" t="n">
        <v>25</v>
      </c>
      <c r="E26" s="3" t="n"/>
      <c r="G26" t="n">
        <v>25</v>
      </c>
      <c r="H26" s="3" t="n"/>
      <c r="J26" t="n">
        <v>25</v>
      </c>
      <c r="K26" s="3" t="n"/>
      <c r="M26" t="n">
        <v>25</v>
      </c>
      <c r="N26" s="3" t="n"/>
      <c r="P26" t="n">
        <v>25</v>
      </c>
      <c r="Q26" s="3" t="n"/>
      <c r="S26" t="n">
        <v>25</v>
      </c>
      <c r="T26" s="3" t="n"/>
      <c r="V26" t="n">
        <v>25</v>
      </c>
      <c r="W26" s="3" t="n"/>
      <c r="Y26" t="n">
        <v>25</v>
      </c>
      <c r="Z26" s="3" t="n"/>
      <c r="AB26" t="n">
        <v>25</v>
      </c>
      <c r="AC26" s="3" t="n"/>
      <c r="AE26" t="n">
        <v>25</v>
      </c>
      <c r="AF26" s="3" t="n"/>
      <c r="AH26" t="n">
        <v>25</v>
      </c>
      <c r="AI26" s="3" t="n"/>
    </row>
    <row r="27">
      <c r="A27" t="n">
        <v>26</v>
      </c>
      <c r="D27" t="n">
        <v>26</v>
      </c>
      <c r="E27" s="3" t="n"/>
      <c r="G27" t="n">
        <v>26</v>
      </c>
      <c r="H27" s="3" t="n"/>
      <c r="J27" t="n">
        <v>26</v>
      </c>
      <c r="K27" s="3" t="n"/>
      <c r="M27" t="n">
        <v>26</v>
      </c>
      <c r="N27" s="3" t="n"/>
      <c r="P27" t="n">
        <v>26</v>
      </c>
      <c r="Q27" s="3" t="n"/>
      <c r="S27" t="n">
        <v>26</v>
      </c>
      <c r="T27" s="3" t="n"/>
      <c r="V27" t="n">
        <v>26</v>
      </c>
      <c r="W27" s="3" t="n"/>
      <c r="Y27" t="n">
        <v>26</v>
      </c>
      <c r="Z27" s="3" t="n"/>
      <c r="AB27" t="n">
        <v>26</v>
      </c>
      <c r="AC27" s="3" t="n"/>
      <c r="AE27" t="n">
        <v>26</v>
      </c>
      <c r="AF27" s="3" t="n"/>
      <c r="AH27" t="n">
        <v>26</v>
      </c>
      <c r="AI27" s="3" t="n"/>
    </row>
    <row r="28">
      <c r="A28" t="n">
        <v>27</v>
      </c>
      <c r="D28" t="n">
        <v>27</v>
      </c>
      <c r="E28" s="3" t="n"/>
      <c r="G28" t="n">
        <v>27</v>
      </c>
      <c r="H28" s="3" t="n"/>
      <c r="J28" t="n">
        <v>27</v>
      </c>
      <c r="K28" s="3" t="n"/>
      <c r="M28" t="n">
        <v>27</v>
      </c>
      <c r="N28" s="3" t="n"/>
      <c r="P28" t="n">
        <v>27</v>
      </c>
      <c r="Q28" s="3" t="n"/>
      <c r="S28" t="n">
        <v>27</v>
      </c>
      <c r="T28" s="3" t="n"/>
      <c r="V28" t="n">
        <v>27</v>
      </c>
      <c r="W28" s="3" t="n"/>
      <c r="Y28" t="n">
        <v>27</v>
      </c>
      <c r="Z28" s="3" t="n"/>
      <c r="AB28" t="n">
        <v>27</v>
      </c>
      <c r="AC28" s="3" t="n"/>
      <c r="AE28" t="n">
        <v>27</v>
      </c>
      <c r="AF28" s="3" t="n"/>
      <c r="AH28" t="n">
        <v>27</v>
      </c>
      <c r="AI28" s="3" t="n"/>
    </row>
    <row r="29">
      <c r="A29" t="n">
        <v>28</v>
      </c>
      <c r="B29" s="3">
        <f>7985+380</f>
        <v/>
      </c>
      <c r="D29" t="n">
        <v>28</v>
      </c>
      <c r="E29" s="3" t="n"/>
      <c r="G29" t="n">
        <v>28</v>
      </c>
      <c r="H29" s="3" t="n"/>
      <c r="J29" t="n">
        <v>28</v>
      </c>
      <c r="K29" s="3" t="n"/>
      <c r="M29" t="n">
        <v>28</v>
      </c>
      <c r="N29" s="3" t="n"/>
      <c r="P29" t="n">
        <v>28</v>
      </c>
      <c r="Q29" s="3" t="n"/>
      <c r="S29" t="n">
        <v>28</v>
      </c>
      <c r="T29" s="3" t="n"/>
      <c r="V29" t="n">
        <v>28</v>
      </c>
      <c r="W29" s="3" t="n"/>
      <c r="Y29" t="n">
        <v>28</v>
      </c>
      <c r="Z29" s="3" t="n"/>
      <c r="AB29" t="n">
        <v>28</v>
      </c>
      <c r="AC29" s="3" t="n"/>
      <c r="AE29" t="n">
        <v>28</v>
      </c>
      <c r="AF29" s="3" t="n"/>
      <c r="AH29" t="n">
        <v>28</v>
      </c>
      <c r="AI29" s="3" t="n"/>
    </row>
    <row r="30">
      <c r="A30" t="n">
        <v>29</v>
      </c>
      <c r="D30" t="n">
        <v>29</v>
      </c>
      <c r="E30" s="3" t="n"/>
      <c r="G30" t="n">
        <v>29</v>
      </c>
      <c r="H30" s="3" t="n"/>
      <c r="J30" t="n">
        <v>29</v>
      </c>
      <c r="K30" s="3" t="n"/>
      <c r="M30" t="n">
        <v>29</v>
      </c>
      <c r="N30" s="3" t="n"/>
      <c r="P30" t="n">
        <v>29</v>
      </c>
      <c r="Q30" s="3" t="n"/>
      <c r="S30" t="n">
        <v>29</v>
      </c>
      <c r="T30" s="3" t="n"/>
      <c r="V30" t="n">
        <v>29</v>
      </c>
      <c r="W30" s="3" t="n"/>
      <c r="Y30" t="n">
        <v>29</v>
      </c>
      <c r="Z30" s="3" t="n"/>
      <c r="AB30" t="n">
        <v>29</v>
      </c>
      <c r="AC30" s="3" t="n"/>
      <c r="AE30" t="n">
        <v>29</v>
      </c>
      <c r="AF30" s="3" t="n"/>
      <c r="AH30" t="n">
        <v>29</v>
      </c>
      <c r="AI30" s="3" t="n"/>
    </row>
    <row r="31">
      <c r="A31" t="n">
        <v>30</v>
      </c>
      <c r="D31" t="n">
        <v>30</v>
      </c>
      <c r="E31" s="3" t="n"/>
      <c r="G31" t="n">
        <v>30</v>
      </c>
      <c r="H31" s="3" t="n"/>
      <c r="J31" t="n">
        <v>30</v>
      </c>
      <c r="K31" s="3" t="n"/>
      <c r="M31" t="n">
        <v>30</v>
      </c>
      <c r="N31" s="3" t="n"/>
      <c r="P31" t="n">
        <v>30</v>
      </c>
      <c r="S31" t="n">
        <v>30</v>
      </c>
      <c r="V31" t="n">
        <v>30</v>
      </c>
      <c r="Y31" t="n">
        <v>30</v>
      </c>
      <c r="AB31" t="n">
        <v>30</v>
      </c>
      <c r="AC31" s="3" t="n"/>
      <c r="AE31" t="n">
        <v>30</v>
      </c>
      <c r="AF31" s="3" t="n"/>
      <c r="AH31" t="n">
        <v>30</v>
      </c>
      <c r="AI31" s="3" t="n"/>
    </row>
    <row r="32">
      <c r="A32" t="n">
        <v>31</v>
      </c>
      <c r="D32" t="n">
        <v>31</v>
      </c>
      <c r="E32" s="3" t="n"/>
      <c r="G32" t="n">
        <v>31</v>
      </c>
      <c r="H32" s="3" t="n"/>
      <c r="J32" t="n">
        <v>31</v>
      </c>
      <c r="K32" s="3" t="n"/>
      <c r="M32" t="n">
        <v>31</v>
      </c>
      <c r="N32" s="3" t="n"/>
      <c r="P32" t="n">
        <v>31</v>
      </c>
      <c r="S32" t="n">
        <v>31</v>
      </c>
      <c r="V32" t="n">
        <v>31</v>
      </c>
      <c r="Y32" t="n">
        <v>31</v>
      </c>
      <c r="AB32" t="n">
        <v>31</v>
      </c>
      <c r="AC32" s="3" t="n"/>
      <c r="AE32" t="n">
        <v>31</v>
      </c>
      <c r="AF32" s="3" t="n"/>
      <c r="AH32" t="n">
        <v>31</v>
      </c>
      <c r="AI32" s="3" t="n"/>
    </row>
    <row r="33">
      <c r="E33" s="3" t="n"/>
      <c r="H33" s="3" t="n"/>
    </row>
    <row r="34">
      <c r="E34" s="3" t="n"/>
      <c r="H34" s="3" t="n"/>
    </row>
    <row r="35">
      <c r="A35" t="inlineStr">
        <is>
          <t>Total</t>
        </is>
      </c>
      <c r="B35" s="3">
        <f>SUM(B2:B34)</f>
        <v/>
      </c>
      <c r="E35" s="3">
        <f>SUM(E2:E27)</f>
        <v/>
      </c>
      <c r="H35" s="3">
        <f>SUM(H2:H34)</f>
        <v/>
      </c>
      <c r="K35" s="3">
        <f>SUM(K2:K34)</f>
        <v/>
      </c>
      <c r="N35" s="3">
        <f>SUM(N2:N34)</f>
        <v/>
      </c>
      <c r="Q35" s="3">
        <f>SUM(Q2:Q34)</f>
        <v/>
      </c>
      <c r="T35" s="3">
        <f>SUM(T2:T34)</f>
        <v/>
      </c>
      <c r="W35" s="3">
        <f>SUM(W2:W34)</f>
        <v/>
      </c>
      <c r="Z35" s="3">
        <f>SUM(Z2:Z34)</f>
        <v/>
      </c>
      <c r="AC35" s="3">
        <f>SUM(AC2:AC34)</f>
        <v/>
      </c>
      <c r="AF35" s="3">
        <f>SUM(AF2:AF34)</f>
        <v/>
      </c>
      <c r="AI35" s="3">
        <f>SUM(AI2:AI34)</f>
        <v/>
      </c>
    </row>
  </sheetData>
  <mergeCells count="3">
    <mergeCell ref="D1:E1"/>
    <mergeCell ref="G1:H1"/>
    <mergeCell ref="A1:B1"/>
  </mergeCells>
  <conditionalFormatting sqref="B2:B32">
    <cfRule type="cellIs" priority="43" operator="lessThan" dxfId="1">
      <formula>0</formula>
    </cfRule>
    <cfRule type="cellIs" priority="44" operator="greaterThan" dxfId="0">
      <formula>0</formula>
    </cfRule>
  </conditionalFormatting>
  <conditionalFormatting sqref="B35">
    <cfRule type="cellIs" priority="42" operator="greaterThan" dxfId="0">
      <formula>0</formula>
    </cfRule>
    <cfRule type="cellIs" priority="41" operator="lessThan" dxfId="1">
      <formula>0</formula>
    </cfRule>
  </conditionalFormatting>
  <conditionalFormatting sqref="E2:E35">
    <cfRule type="cellIs" priority="39" operator="lessThan" dxfId="1">
      <formula>0</formula>
    </cfRule>
    <cfRule type="cellIs" priority="40" operator="greaterThan" dxfId="0">
      <formula>0</formula>
    </cfRule>
  </conditionalFormatting>
  <conditionalFormatting sqref="H2:H35">
    <cfRule type="cellIs" priority="34" operator="greaterThan" dxfId="0">
      <formula>0</formula>
    </cfRule>
    <cfRule type="cellIs" priority="33" operator="lessThan" dxfId="1">
      <formula>0</formula>
    </cfRule>
  </conditionalFormatting>
  <conditionalFormatting sqref="K2:K32">
    <cfRule type="cellIs" priority="38" operator="greaterThan" dxfId="0">
      <formula>0</formula>
    </cfRule>
    <cfRule type="cellIs" priority="37" operator="lessThan" dxfId="1">
      <formula>0</formula>
    </cfRule>
  </conditionalFormatting>
  <conditionalFormatting sqref="K35">
    <cfRule type="cellIs" priority="36" operator="greaterThan" dxfId="0">
      <formula>0</formula>
    </cfRule>
    <cfRule type="cellIs" priority="35" operator="lessThan" dxfId="1">
      <formula>0</formula>
    </cfRule>
  </conditionalFormatting>
  <conditionalFormatting sqref="N2:N32">
    <cfRule type="cellIs" priority="32" operator="greaterThan" dxfId="0">
      <formula>0</formula>
    </cfRule>
    <cfRule type="cellIs" priority="31" operator="lessThan" dxfId="1">
      <formula>0</formula>
    </cfRule>
  </conditionalFormatting>
  <conditionalFormatting sqref="N35">
    <cfRule type="cellIs" priority="30" operator="greaterThan" dxfId="0">
      <formula>0</formula>
    </cfRule>
    <cfRule type="cellIs" priority="29" operator="lessThan" dxfId="1">
      <formula>0</formula>
    </cfRule>
  </conditionalFormatting>
  <conditionalFormatting sqref="Q2:Q30">
    <cfRule type="cellIs" priority="28" operator="greaterThan" dxfId="0">
      <formula>0</formula>
    </cfRule>
    <cfRule type="cellIs" priority="27" operator="lessThan" dxfId="1">
      <formula>0</formula>
    </cfRule>
  </conditionalFormatting>
  <conditionalFormatting sqref="Q35">
    <cfRule type="cellIs" priority="26" operator="greaterThan" dxfId="0">
      <formula>0</formula>
    </cfRule>
    <cfRule type="cellIs" priority="25" operator="lessThan" dxfId="1">
      <formula>0</formula>
    </cfRule>
  </conditionalFormatting>
  <conditionalFormatting sqref="T2:T30">
    <cfRule type="cellIs" priority="23" operator="lessThan" dxfId="1">
      <formula>0</formula>
    </cfRule>
    <cfRule type="cellIs" priority="24" operator="greaterThan" dxfId="0">
      <formula>0</formula>
    </cfRule>
  </conditionalFormatting>
  <conditionalFormatting sqref="T35">
    <cfRule type="cellIs" priority="22" operator="greaterThan" dxfId="0">
      <formula>0</formula>
    </cfRule>
    <cfRule type="cellIs" priority="21" operator="lessThan" dxfId="1">
      <formula>0</formula>
    </cfRule>
  </conditionalFormatting>
  <conditionalFormatting sqref="W2:W30">
    <cfRule type="cellIs" priority="20" operator="greaterThan" dxfId="0">
      <formula>0</formula>
    </cfRule>
    <cfRule type="cellIs" priority="19" operator="lessThan" dxfId="1">
      <formula>0</formula>
    </cfRule>
  </conditionalFormatting>
  <conditionalFormatting sqref="W35">
    <cfRule type="cellIs" priority="18" operator="greaterThan" dxfId="0">
      <formula>0</formula>
    </cfRule>
    <cfRule type="cellIs" priority="17" operator="lessThan" dxfId="1">
      <formula>0</formula>
    </cfRule>
  </conditionalFormatting>
  <conditionalFormatting sqref="Z2:Z30">
    <cfRule type="cellIs" priority="16" operator="greaterThan" dxfId="0">
      <formula>0</formula>
    </cfRule>
    <cfRule type="cellIs" priority="15" operator="lessThan" dxfId="1">
      <formula>0</formula>
    </cfRule>
  </conditionalFormatting>
  <conditionalFormatting sqref="Z35">
    <cfRule type="cellIs" priority="14" operator="greaterThan" dxfId="0">
      <formula>0</formula>
    </cfRule>
    <cfRule type="cellIs" priority="13" operator="lessThan" dxfId="1">
      <formula>0</formula>
    </cfRule>
  </conditionalFormatting>
  <conditionalFormatting sqref="AC2:AC32">
    <cfRule type="cellIs" priority="11" operator="lessThan" dxfId="1">
      <formula>0</formula>
    </cfRule>
    <cfRule type="cellIs" priority="12" operator="greaterThan" dxfId="0">
      <formula>0</formula>
    </cfRule>
  </conditionalFormatting>
  <conditionalFormatting sqref="AC35">
    <cfRule type="cellIs" priority="10" operator="greaterThan" dxfId="0">
      <formula>0</formula>
    </cfRule>
    <cfRule type="cellIs" priority="9" operator="lessThan" dxfId="1">
      <formula>0</formula>
    </cfRule>
  </conditionalFormatting>
  <conditionalFormatting sqref="AF2:AF32">
    <cfRule type="cellIs" priority="8" operator="greaterThan" dxfId="0">
      <formula>0</formula>
    </cfRule>
    <cfRule type="cellIs" priority="7" operator="lessThan" dxfId="1">
      <formula>0</formula>
    </cfRule>
  </conditionalFormatting>
  <conditionalFormatting sqref="AF35">
    <cfRule type="cellIs" priority="6" operator="greaterThan" dxfId="0">
      <formula>0</formula>
    </cfRule>
    <cfRule type="cellIs" priority="5" operator="lessThan" dxfId="1">
      <formula>0</formula>
    </cfRule>
  </conditionalFormatting>
  <conditionalFormatting sqref="AI2:AI32">
    <cfRule type="cellIs" priority="4" operator="greaterThan" dxfId="0">
      <formula>0</formula>
    </cfRule>
    <cfRule type="cellIs" priority="3" operator="lessThan" dxfId="1">
      <formula>0</formula>
    </cfRule>
  </conditionalFormatting>
  <conditionalFormatting sqref="AI35">
    <cfRule type="cellIs" priority="2" operator="greaterThan" dxfId="0">
      <formula>0</formula>
    </cfRule>
    <cfRule type="cellIs" priority="1" operator="lessThan" dxfId="1">
      <formula>0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E5" sqref="E5"/>
    </sheetView>
  </sheetViews>
  <sheetFormatPr baseColWidth="8" defaultRowHeight="15"/>
  <cols>
    <col width="18.42578125" customWidth="1" min="1" max="1"/>
    <col width="15.42578125" customWidth="1" style="3" min="2" max="2"/>
  </cols>
  <sheetData>
    <row r="1" customFormat="1" s="2">
      <c r="A1" s="9" t="inlineStr">
        <is>
          <t>January</t>
        </is>
      </c>
      <c r="D1" s="2" t="inlineStr">
        <is>
          <t>February</t>
        </is>
      </c>
    </row>
    <row r="2">
      <c r="A2" s="1" t="inlineStr">
        <is>
          <t>BIC $6 $4</t>
        </is>
      </c>
      <c r="B2" s="3">
        <f>'BIC $6 $4'!B35</f>
        <v/>
      </c>
    </row>
    <row r="3">
      <c r="A3" s="1" t="inlineStr">
        <is>
          <t>BIC $4</t>
        </is>
      </c>
      <c r="B3" s="3">
        <f>'BIC $4 '!B35</f>
        <v/>
      </c>
      <c r="C3" s="3" t="n"/>
    </row>
    <row r="4">
      <c r="A4" s="1" t="inlineStr">
        <is>
          <t>BIC $3</t>
        </is>
      </c>
      <c r="B4" s="3">
        <f>'BIC $3'!B35</f>
        <v/>
      </c>
    </row>
    <row r="5">
      <c r="A5" s="1" t="inlineStr">
        <is>
          <t>BIC 1 DTE</t>
        </is>
      </c>
      <c r="B5" s="3">
        <f>'BIC 1 DTE'!B35</f>
        <v/>
      </c>
    </row>
    <row r="6">
      <c r="A6" s="1" t="inlineStr">
        <is>
          <t>1 DTE</t>
        </is>
      </c>
      <c r="B6" s="3">
        <f>'1 DTE'!B35</f>
        <v/>
      </c>
    </row>
    <row r="7">
      <c r="A7" s="1" t="inlineStr">
        <is>
          <t>TLC</t>
        </is>
      </c>
      <c r="B7" s="3">
        <f>TLC!B35</f>
        <v/>
      </c>
    </row>
    <row r="8">
      <c r="A8" s="1" t="inlineStr">
        <is>
          <t>RIC</t>
        </is>
      </c>
      <c r="B8" s="3">
        <f>RIC!B35</f>
        <v/>
      </c>
    </row>
    <row r="9">
      <c r="A9" s="1" t="inlineStr">
        <is>
          <t>WUGA</t>
        </is>
      </c>
      <c r="B9" s="3">
        <f>WUGA!B35</f>
        <v/>
      </c>
    </row>
    <row r="10">
      <c r="A10" s="1" t="inlineStr">
        <is>
          <t>FOMC</t>
        </is>
      </c>
      <c r="B10" s="3">
        <f>FOMC!B35</f>
        <v/>
      </c>
    </row>
    <row r="11">
      <c r="A11" s="1" t="inlineStr">
        <is>
          <t>Lottery</t>
        </is>
      </c>
      <c r="B11" s="3">
        <f>#REF!</f>
        <v/>
      </c>
    </row>
    <row r="12">
      <c r="A12" s="1" t="n"/>
    </row>
    <row r="13">
      <c r="A13" s="1" t="n"/>
    </row>
    <row r="14">
      <c r="A14" s="1" t="inlineStr">
        <is>
          <t>Total</t>
        </is>
      </c>
      <c r="B14" s="3">
        <f>SUM(B2:B11)</f>
        <v/>
      </c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  <row r="22">
      <c r="A22" s="1" t="n"/>
    </row>
    <row r="23">
      <c r="A23" s="1" t="n"/>
    </row>
    <row r="24">
      <c r="A24" s="1" t="n"/>
    </row>
    <row r="25">
      <c r="A25" s="1" t="n"/>
    </row>
    <row r="26">
      <c r="A26" s="1" t="n"/>
    </row>
    <row r="27">
      <c r="A27" s="1" t="n"/>
    </row>
    <row r="28">
      <c r="A28" s="1" t="n"/>
    </row>
    <row r="29">
      <c r="A29" s="1" t="n"/>
    </row>
    <row r="30">
      <c r="A30" s="1" t="n"/>
    </row>
    <row r="31">
      <c r="A31" s="1" t="n"/>
    </row>
    <row r="32">
      <c r="A32" s="1" t="n"/>
    </row>
  </sheetData>
  <mergeCells count="1">
    <mergeCell ref="A1:B1"/>
  </mergeCells>
  <conditionalFormatting sqref="B2:B18 B20:B32 C3">
    <cfRule type="cellIs" priority="3" operator="lessThan" dxfId="1">
      <formula>0</formula>
    </cfRule>
    <cfRule type="cellIs" priority="4" operator="greaterThan" dxfId="0">
      <formula>0</formula>
    </cfRule>
  </conditionalFormatting>
  <conditionalFormatting sqref="B35">
    <cfRule type="cellIs" priority="1" operator="lessThan" dxfId="1">
      <formula>0</formula>
    </cfRule>
    <cfRule type="cellIs" priority="2" operator="greaterThan" dxfId="0">
      <formula>0</formula>
    </cfRule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I35"/>
  <sheetViews>
    <sheetView topLeftCell="I1" workbookViewId="0">
      <selection activeCell="AF18" sqref="AF18"/>
    </sheetView>
  </sheetViews>
  <sheetFormatPr baseColWidth="8" defaultRowHeight="15"/>
  <cols>
    <col width="18.42578125" customWidth="1" min="1" max="1"/>
    <col width="15.42578125" customWidth="1" style="3" min="2" max="2"/>
    <col width="11.5703125" customWidth="1" min="4" max="4"/>
    <col width="12.5703125" customWidth="1" min="5" max="5"/>
    <col width="10.42578125" bestFit="1" customWidth="1" min="7" max="7"/>
    <col width="9.85546875" bestFit="1" customWidth="1" min="8" max="8"/>
    <col width="10.42578125" bestFit="1" customWidth="1" min="10" max="10"/>
    <col width="9.85546875" bestFit="1" customWidth="1" min="11" max="11"/>
    <col width="10.140625" bestFit="1" customWidth="1" min="17" max="17"/>
    <col width="9.85546875" bestFit="1" customWidth="1" min="20" max="20"/>
    <col width="9.7109375" bestFit="1" customWidth="1" min="22" max="22"/>
    <col width="9.85546875" bestFit="1" customWidth="1" min="23" max="23"/>
    <col width="9.7109375" bestFit="1" customWidth="1" min="25" max="25"/>
    <col width="9.85546875" bestFit="1" customWidth="1" min="26" max="26"/>
    <col width="9.85546875" bestFit="1" customWidth="1" min="29" max="29"/>
    <col width="9.85546875" bestFit="1" customWidth="1" min="32" max="32"/>
    <col width="9.85546875" bestFit="1" customWidth="1" min="35" max="35"/>
  </cols>
  <sheetData>
    <row r="1" customFormat="1" s="2">
      <c r="A1" s="9" t="n"/>
      <c r="D1" s="9" t="n"/>
      <c r="G1" s="9" t="n"/>
      <c r="Y1" s="7" t="n"/>
      <c r="AB1" s="7" t="n"/>
      <c r="AE1" s="7" t="inlineStr">
        <is>
          <t>Nov</t>
        </is>
      </c>
      <c r="AH1" s="7" t="inlineStr">
        <is>
          <t>Dec</t>
        </is>
      </c>
    </row>
    <row r="2">
      <c r="A2" s="1" t="n"/>
      <c r="D2" s="1" t="n"/>
      <c r="E2" s="3" t="n"/>
      <c r="G2" s="1" t="n"/>
      <c r="H2" s="3" t="n"/>
      <c r="J2" s="1" t="n"/>
      <c r="K2" s="3" t="n"/>
      <c r="Q2" s="3" t="n"/>
      <c r="T2" s="3" t="n"/>
      <c r="V2" s="6" t="n"/>
      <c r="W2" s="3" t="n"/>
      <c r="Y2" s="8" t="n"/>
      <c r="Z2" s="3" t="n"/>
      <c r="AB2" s="8" t="n"/>
      <c r="AC2" s="3" t="n"/>
      <c r="AE2" s="8" t="n">
        <v>1</v>
      </c>
      <c r="AF2" s="3" t="n"/>
      <c r="AH2" s="8" t="n">
        <v>1</v>
      </c>
      <c r="AI2" s="3" t="n">
        <v>-4830</v>
      </c>
    </row>
    <row r="3">
      <c r="A3" s="1" t="n"/>
      <c r="D3" s="1" t="n"/>
      <c r="E3" s="3" t="n"/>
      <c r="G3" s="1" t="n"/>
      <c r="H3" s="3" t="n"/>
      <c r="J3" s="1" t="n"/>
      <c r="K3" s="3" t="n"/>
      <c r="Q3" s="3" t="n"/>
      <c r="T3" s="3" t="n"/>
      <c r="V3" s="6" t="n"/>
      <c r="W3" s="3" t="n"/>
      <c r="Y3" s="8" t="n"/>
      <c r="Z3" s="3" t="n"/>
      <c r="AB3" s="8" t="n"/>
      <c r="AC3" s="3" t="n"/>
      <c r="AE3" s="8" t="n">
        <v>2</v>
      </c>
      <c r="AF3" s="3" t="n"/>
      <c r="AH3" s="8" t="n">
        <v>2</v>
      </c>
      <c r="AI3" s="3" t="n"/>
    </row>
    <row r="4">
      <c r="A4" s="1" t="n"/>
      <c r="D4" s="1" t="n"/>
      <c r="E4" s="3" t="n"/>
      <c r="G4" s="1" t="n"/>
      <c r="H4" s="3" t="n"/>
      <c r="J4" s="1" t="n"/>
      <c r="K4" s="3" t="n"/>
      <c r="Q4" s="3" t="n"/>
      <c r="T4" s="3" t="n"/>
      <c r="V4" s="6" t="n"/>
      <c r="W4" s="3" t="n"/>
      <c r="Y4" s="8" t="n"/>
      <c r="Z4" s="3" t="n"/>
      <c r="AB4" s="8" t="n"/>
      <c r="AC4" s="3" t="n"/>
      <c r="AE4" s="8" t="n">
        <v>3</v>
      </c>
      <c r="AF4" s="3" t="n"/>
      <c r="AH4" s="8" t="n">
        <v>3</v>
      </c>
      <c r="AI4" s="3" t="n"/>
    </row>
    <row r="5">
      <c r="A5" s="1" t="n"/>
      <c r="D5" s="1" t="n"/>
      <c r="E5" s="3" t="n"/>
      <c r="G5" s="1" t="n"/>
      <c r="H5" s="3" t="n"/>
      <c r="J5" s="1" t="n"/>
      <c r="K5" s="3" t="n"/>
      <c r="Q5" s="3" t="n"/>
      <c r="T5" s="3" t="n"/>
      <c r="V5" s="6" t="n"/>
      <c r="W5" s="3" t="n"/>
      <c r="Y5" s="8" t="n"/>
      <c r="Z5" s="3" t="n"/>
      <c r="AB5" s="8" t="n"/>
      <c r="AC5" s="3" t="n"/>
      <c r="AE5" s="8" t="n">
        <v>4</v>
      </c>
      <c r="AF5" s="3" t="n"/>
      <c r="AH5" s="8" t="n">
        <v>4</v>
      </c>
      <c r="AI5" s="3" t="n"/>
    </row>
    <row r="6">
      <c r="A6" s="1" t="n"/>
      <c r="D6" s="1" t="n"/>
      <c r="E6" s="3" t="n"/>
      <c r="G6" s="1" t="n"/>
      <c r="H6" s="3" t="n"/>
      <c r="J6" s="1" t="n"/>
      <c r="K6" s="3" t="n"/>
      <c r="Q6" s="3" t="n"/>
      <c r="T6" s="3" t="n"/>
      <c r="V6" s="6" t="n"/>
      <c r="W6" s="3" t="n"/>
      <c r="Y6" s="8" t="n"/>
      <c r="Z6" s="3" t="n"/>
      <c r="AA6" s="3" t="n"/>
      <c r="AB6" s="8" t="n"/>
      <c r="AC6" s="3" t="n"/>
      <c r="AD6" s="3" t="n"/>
      <c r="AE6" s="8" t="n">
        <v>5</v>
      </c>
      <c r="AF6" s="3" t="n"/>
      <c r="AH6" s="8" t="n">
        <v>5</v>
      </c>
      <c r="AI6" s="3" t="n"/>
    </row>
    <row r="7">
      <c r="A7" s="1" t="n"/>
      <c r="D7" s="1" t="n"/>
      <c r="E7" s="3" t="n"/>
      <c r="G7" s="1" t="n"/>
      <c r="H7" s="3" t="n"/>
      <c r="J7" s="1" t="n"/>
      <c r="K7" s="3" t="n"/>
      <c r="Q7" s="3" t="n"/>
      <c r="T7" s="3" t="n"/>
      <c r="V7" s="6" t="n"/>
      <c r="W7" s="3" t="n"/>
      <c r="Y7" s="8" t="n"/>
      <c r="Z7" s="3" t="n"/>
      <c r="AB7" s="8" t="n"/>
      <c r="AC7" s="3" t="n"/>
      <c r="AE7" s="8" t="n">
        <v>6</v>
      </c>
      <c r="AF7" s="3" t="n"/>
      <c r="AH7" s="8" t="n">
        <v>6</v>
      </c>
      <c r="AI7" s="3" t="n"/>
    </row>
    <row r="8">
      <c r="A8" s="1" t="n"/>
      <c r="D8" s="1" t="n"/>
      <c r="E8" s="3" t="n"/>
      <c r="G8" s="1" t="n"/>
      <c r="H8" s="3" t="n"/>
      <c r="J8" s="1" t="n"/>
      <c r="K8" s="3" t="n"/>
      <c r="Q8" s="3" t="n"/>
      <c r="T8" s="3" t="n"/>
      <c r="V8" s="6" t="n"/>
      <c r="W8" s="3" t="n"/>
      <c r="Y8" s="8" t="n"/>
      <c r="Z8" s="3" t="n"/>
      <c r="AB8" s="8" t="n"/>
      <c r="AC8" s="3" t="n"/>
      <c r="AE8" s="8" t="n">
        <v>7</v>
      </c>
      <c r="AF8" s="3" t="n"/>
      <c r="AH8" s="8" t="n">
        <v>7</v>
      </c>
      <c r="AI8" s="3" t="n"/>
    </row>
    <row r="9">
      <c r="A9" s="1" t="n"/>
      <c r="D9" s="1" t="n"/>
      <c r="E9" s="3" t="n"/>
      <c r="G9" s="1" t="n"/>
      <c r="H9" s="3" t="n"/>
      <c r="J9" s="1" t="n"/>
      <c r="K9" s="3" t="n"/>
      <c r="Q9" s="3" t="n"/>
      <c r="T9" s="3" t="n"/>
      <c r="V9" s="6" t="n"/>
      <c r="W9" s="3" t="n"/>
      <c r="Y9" s="8" t="n"/>
      <c r="Z9" s="3" t="n"/>
      <c r="AB9" s="8" t="n"/>
      <c r="AC9" s="3" t="n"/>
      <c r="AE9" s="8" t="n">
        <v>8</v>
      </c>
      <c r="AF9" s="3" t="n"/>
      <c r="AH9" s="8" t="n">
        <v>8</v>
      </c>
      <c r="AI9" s="3" t="n"/>
    </row>
    <row r="10">
      <c r="A10" s="1" t="n"/>
      <c r="D10" s="1" t="n"/>
      <c r="E10" s="3" t="n"/>
      <c r="G10" s="1" t="n"/>
      <c r="H10" s="3" t="n"/>
      <c r="J10" s="1" t="n"/>
      <c r="K10" s="3" t="n"/>
      <c r="Q10" s="3" t="n"/>
      <c r="T10" s="3" t="n"/>
      <c r="V10" s="6" t="n"/>
      <c r="W10" s="3" t="n"/>
      <c r="Y10" s="8" t="n"/>
      <c r="Z10" s="3" t="n"/>
      <c r="AB10" s="8" t="n"/>
      <c r="AC10" s="3" t="n"/>
      <c r="AE10" s="8" t="n">
        <v>9</v>
      </c>
      <c r="AF10" s="3" t="n"/>
      <c r="AH10" s="8" t="n">
        <v>9</v>
      </c>
      <c r="AI10" s="3" t="n"/>
    </row>
    <row r="11">
      <c r="A11" s="1" t="n"/>
      <c r="D11" s="1" t="n"/>
      <c r="E11" s="3" t="n"/>
      <c r="G11" s="1" t="n"/>
      <c r="H11" s="3" t="n"/>
      <c r="J11" s="1" t="n"/>
      <c r="K11" s="3" t="n"/>
      <c r="Q11" s="3" t="n"/>
      <c r="T11" s="3" t="n"/>
      <c r="V11" s="6" t="n"/>
      <c r="W11" s="3" t="n"/>
      <c r="Y11" s="8" t="n"/>
      <c r="Z11" s="3" t="n"/>
      <c r="AB11" s="8" t="n"/>
      <c r="AC11" s="3" t="n"/>
      <c r="AE11" s="8" t="n">
        <v>10</v>
      </c>
      <c r="AF11" s="3" t="n"/>
      <c r="AH11" s="8" t="n">
        <v>10</v>
      </c>
      <c r="AI11" s="3" t="n"/>
    </row>
    <row r="12">
      <c r="A12" s="1" t="n"/>
      <c r="D12" s="1" t="n"/>
      <c r="E12" s="3" t="n"/>
      <c r="G12" s="1" t="n"/>
      <c r="H12" s="3" t="n"/>
      <c r="J12" s="1" t="n"/>
      <c r="K12" s="3" t="n"/>
      <c r="Q12" s="3" t="n"/>
      <c r="T12" s="3" t="n"/>
      <c r="V12" s="6" t="n"/>
      <c r="W12" s="3" t="n"/>
      <c r="Y12" s="8" t="n"/>
      <c r="Z12" s="3" t="n"/>
      <c r="AB12" s="8" t="n"/>
      <c r="AC12" s="3" t="n"/>
      <c r="AE12" s="8" t="n">
        <v>11</v>
      </c>
      <c r="AF12" s="3" t="n"/>
      <c r="AH12" s="8" t="n">
        <v>11</v>
      </c>
      <c r="AI12" s="3" t="n"/>
    </row>
    <row r="13">
      <c r="A13" s="1" t="n"/>
      <c r="D13" s="1" t="n"/>
      <c r="E13" s="3" t="n"/>
      <c r="G13" s="1" t="n"/>
      <c r="H13" s="3" t="n"/>
      <c r="J13" s="1" t="n"/>
      <c r="K13" s="3" t="n"/>
      <c r="Q13" s="3" t="n"/>
      <c r="T13" s="3" t="n"/>
      <c r="V13" s="6" t="n"/>
      <c r="W13" s="3" t="n"/>
      <c r="Y13" s="8" t="n"/>
      <c r="Z13" s="3" t="n"/>
      <c r="AB13" s="8" t="n"/>
      <c r="AC13" s="3" t="n"/>
      <c r="AE13" s="8" t="n">
        <v>12</v>
      </c>
      <c r="AF13" s="3" t="n"/>
      <c r="AH13" s="8" t="n">
        <v>12</v>
      </c>
      <c r="AI13" s="3" t="n"/>
    </row>
    <row r="14">
      <c r="A14" s="1" t="n"/>
      <c r="D14" s="1" t="n"/>
      <c r="E14" s="3" t="n"/>
      <c r="G14" s="1" t="n"/>
      <c r="H14" s="3" t="n"/>
      <c r="J14" s="1" t="n"/>
      <c r="K14" s="3" t="n"/>
      <c r="Q14" s="3" t="n"/>
      <c r="T14" s="3" t="n"/>
      <c r="V14" s="6" t="n"/>
      <c r="W14" s="3" t="n"/>
      <c r="Y14" s="8" t="n"/>
      <c r="Z14" s="3" t="n"/>
      <c r="AB14" s="8" t="n"/>
      <c r="AC14" s="3" t="n"/>
      <c r="AE14" s="8" t="n">
        <v>13</v>
      </c>
      <c r="AF14" s="3" t="n"/>
      <c r="AH14" s="8" t="n">
        <v>13</v>
      </c>
      <c r="AI14" s="3" t="n"/>
    </row>
    <row r="15">
      <c r="A15" s="1" t="n"/>
      <c r="D15" s="1" t="n"/>
      <c r="E15" s="3" t="n"/>
      <c r="G15" s="1" t="n"/>
      <c r="H15" s="3" t="n"/>
      <c r="J15" s="1" t="n"/>
      <c r="K15" s="3" t="n"/>
      <c r="Q15" s="3" t="n"/>
      <c r="T15" s="3" t="n"/>
      <c r="V15" s="6" t="n"/>
      <c r="W15" s="3" t="n"/>
      <c r="Y15" s="8" t="n"/>
      <c r="Z15" s="3" t="n"/>
      <c r="AB15" s="8" t="n"/>
      <c r="AC15" s="3" t="n"/>
      <c r="AE15" s="8" t="n">
        <v>14</v>
      </c>
      <c r="AF15" s="3" t="n"/>
      <c r="AH15" s="8" t="n">
        <v>14</v>
      </c>
      <c r="AI15" s="3" t="n"/>
    </row>
    <row r="16">
      <c r="A16" s="1" t="n"/>
      <c r="D16" s="1" t="n"/>
      <c r="E16" s="3" t="n"/>
      <c r="G16" s="1" t="n"/>
      <c r="H16" s="3" t="n"/>
      <c r="J16" s="1" t="n"/>
      <c r="K16" s="3" t="n"/>
      <c r="Q16" s="3" t="n"/>
      <c r="T16" s="3" t="n"/>
      <c r="V16" s="6" t="n"/>
      <c r="W16" s="3" t="n"/>
      <c r="Y16" s="8" t="n"/>
      <c r="Z16" s="3" t="n"/>
      <c r="AB16" s="8" t="n"/>
      <c r="AC16" s="3" t="n"/>
      <c r="AE16" s="8" t="n">
        <v>15</v>
      </c>
      <c r="AF16" s="3" t="n"/>
      <c r="AH16" s="8" t="n">
        <v>15</v>
      </c>
      <c r="AI16" s="3" t="n"/>
    </row>
    <row r="17">
      <c r="A17" s="1" t="n"/>
      <c r="D17" s="1" t="n"/>
      <c r="E17" s="3" t="n"/>
      <c r="G17" s="1" t="n"/>
      <c r="H17" s="3" t="n"/>
      <c r="J17" s="1" t="n"/>
      <c r="K17" s="3" t="n"/>
      <c r="Q17" s="3" t="n"/>
      <c r="T17" s="3" t="n"/>
      <c r="V17" s="6" t="n"/>
      <c r="W17" s="3" t="n"/>
      <c r="Y17" s="8" t="n"/>
      <c r="Z17" s="3" t="n"/>
      <c r="AB17" s="8" t="n"/>
      <c r="AC17" s="3" t="n"/>
      <c r="AE17" s="8" t="n">
        <v>16</v>
      </c>
      <c r="AF17" s="3" t="n"/>
      <c r="AH17" s="8" t="n">
        <v>16</v>
      </c>
      <c r="AI17" s="3" t="n"/>
    </row>
    <row r="18">
      <c r="A18" s="1" t="n"/>
      <c r="D18" s="1" t="n"/>
      <c r="E18" s="3" t="n"/>
      <c r="G18" s="1" t="n"/>
      <c r="H18" s="3" t="n"/>
      <c r="J18" s="1" t="n"/>
      <c r="K18" s="3" t="n"/>
      <c r="Q18" s="3" t="n"/>
      <c r="T18" s="3" t="n"/>
      <c r="V18" s="6" t="n"/>
      <c r="W18" s="3" t="n"/>
      <c r="Y18" s="8" t="n"/>
      <c r="Z18" s="3" t="n"/>
      <c r="AB18" s="8" t="n"/>
      <c r="AC18" s="3" t="n"/>
      <c r="AE18" s="8" t="n">
        <v>17</v>
      </c>
      <c r="AF18" s="3" t="n"/>
      <c r="AH18" s="8" t="n">
        <v>17</v>
      </c>
      <c r="AI18" s="3" t="n"/>
    </row>
    <row r="19">
      <c r="A19" s="1" t="n"/>
      <c r="D19" s="1" t="n"/>
      <c r="E19" s="3" t="n"/>
      <c r="G19" s="1" t="n"/>
      <c r="H19" s="3" t="n"/>
      <c r="J19" s="1" t="n"/>
      <c r="K19" s="3" t="n"/>
      <c r="Q19" s="3" t="n"/>
      <c r="T19" s="3" t="n"/>
      <c r="V19" s="6" t="n"/>
      <c r="W19" s="3" t="n"/>
      <c r="Y19" s="8" t="n"/>
      <c r="Z19" s="3" t="n"/>
      <c r="AB19" s="8" t="n"/>
      <c r="AC19" s="3" t="n"/>
      <c r="AE19" s="8" t="n">
        <v>18</v>
      </c>
      <c r="AF19" s="3" t="n"/>
      <c r="AH19" s="8" t="n">
        <v>18</v>
      </c>
      <c r="AI19" s="3" t="n"/>
    </row>
    <row r="20">
      <c r="A20" s="1" t="n"/>
      <c r="D20" s="1" t="n"/>
      <c r="E20" s="3" t="n"/>
      <c r="G20" s="1" t="n"/>
      <c r="H20" s="3" t="n"/>
      <c r="J20" s="1" t="n"/>
      <c r="K20" s="3" t="n"/>
      <c r="Q20" s="3" t="n"/>
      <c r="T20" s="3" t="n"/>
      <c r="V20" s="6" t="n"/>
      <c r="W20" s="3" t="n"/>
      <c r="Y20" s="8" t="n"/>
      <c r="Z20" s="3" t="n"/>
      <c r="AB20" s="8" t="n"/>
      <c r="AC20" s="3" t="n"/>
      <c r="AE20" s="8" t="n">
        <v>19</v>
      </c>
      <c r="AF20" s="3" t="n"/>
      <c r="AH20" s="8" t="n">
        <v>19</v>
      </c>
      <c r="AI20" s="3" t="n"/>
    </row>
    <row r="21">
      <c r="A21" s="1" t="n"/>
      <c r="D21" s="1" t="n"/>
      <c r="E21" s="3" t="n"/>
      <c r="G21" s="1" t="n"/>
      <c r="H21" s="3" t="n"/>
      <c r="J21" s="1" t="n"/>
      <c r="K21" s="3" t="n"/>
      <c r="Q21" s="3" t="n"/>
      <c r="T21" s="3" t="n"/>
      <c r="V21" s="6" t="n"/>
      <c r="W21" s="3" t="n"/>
      <c r="Y21" s="8" t="n"/>
      <c r="Z21" s="3" t="n"/>
      <c r="AB21" s="8" t="n"/>
      <c r="AC21" s="3" t="n"/>
      <c r="AE21" s="8" t="n">
        <v>20</v>
      </c>
      <c r="AF21" s="3" t="n"/>
      <c r="AH21" s="8" t="n">
        <v>20</v>
      </c>
      <c r="AI21" s="3" t="n"/>
    </row>
    <row r="22">
      <c r="A22" s="1" t="n"/>
      <c r="D22" s="1" t="n"/>
      <c r="E22" s="3" t="n"/>
      <c r="G22" s="1" t="n"/>
      <c r="H22" s="3" t="n"/>
      <c r="J22" s="1" t="n"/>
      <c r="K22" s="3" t="n"/>
      <c r="Q22" s="3" t="n"/>
      <c r="T22" s="3" t="n"/>
      <c r="V22" s="6" t="n"/>
      <c r="W22" s="3" t="n"/>
      <c r="Y22" s="8" t="n"/>
      <c r="Z22" s="3" t="n"/>
      <c r="AB22" s="8" t="n"/>
      <c r="AC22" s="3" t="n"/>
      <c r="AE22" s="8" t="n">
        <v>21</v>
      </c>
      <c r="AF22" s="3" t="n"/>
      <c r="AH22" s="8" t="n">
        <v>21</v>
      </c>
      <c r="AI22" s="3" t="n"/>
    </row>
    <row r="23">
      <c r="A23" s="1" t="n"/>
      <c r="D23" s="1" t="n"/>
      <c r="E23" s="3" t="n"/>
      <c r="G23" s="1" t="n"/>
      <c r="H23" s="3" t="n"/>
      <c r="J23" s="1" t="n"/>
      <c r="K23" s="3" t="n"/>
      <c r="Q23" s="3" t="n"/>
      <c r="T23" s="3" t="n"/>
      <c r="V23" s="6" t="n"/>
      <c r="W23" s="3" t="n"/>
      <c r="Y23" s="8" t="n"/>
      <c r="Z23" s="3" t="n"/>
      <c r="AB23" s="8" t="n"/>
      <c r="AC23" s="3" t="n"/>
      <c r="AE23" s="8" t="n">
        <v>22</v>
      </c>
      <c r="AF23" s="3" t="n"/>
      <c r="AH23" s="8" t="n">
        <v>22</v>
      </c>
      <c r="AI23" s="3" t="n"/>
    </row>
    <row r="24">
      <c r="A24" s="1" t="n"/>
      <c r="D24" s="1" t="n"/>
      <c r="E24" s="3" t="n"/>
      <c r="G24" s="1" t="n"/>
      <c r="H24" s="3" t="n"/>
      <c r="J24" s="1" t="n"/>
      <c r="K24" s="3" t="n"/>
      <c r="Q24" s="3" t="n"/>
      <c r="T24" s="3" t="n"/>
      <c r="V24" s="6" t="n"/>
      <c r="W24" s="3" t="n"/>
      <c r="Y24" s="8" t="n"/>
      <c r="Z24" s="3" t="n"/>
      <c r="AB24" s="8" t="n"/>
      <c r="AC24" s="3" t="n"/>
      <c r="AE24" s="8" t="n">
        <v>23</v>
      </c>
      <c r="AF24" s="3" t="n"/>
      <c r="AH24" s="8" t="n">
        <v>23</v>
      </c>
      <c r="AI24" s="3" t="n"/>
    </row>
    <row r="25">
      <c r="A25" s="1" t="n"/>
      <c r="D25" s="1" t="n"/>
      <c r="E25" s="3" t="n"/>
      <c r="G25" s="1" t="n"/>
      <c r="H25" s="3" t="n"/>
      <c r="J25" s="1" t="n"/>
      <c r="K25" s="3" t="n"/>
      <c r="Q25" s="3" t="n"/>
      <c r="T25" s="3" t="n"/>
      <c r="V25" s="6" t="n"/>
      <c r="W25" s="3" t="n"/>
      <c r="Y25" s="8" t="n"/>
      <c r="Z25" s="3" t="n"/>
      <c r="AB25" s="8" t="n"/>
      <c r="AC25" s="3" t="n"/>
      <c r="AE25" s="8" t="n">
        <v>24</v>
      </c>
      <c r="AF25" s="3" t="n"/>
      <c r="AH25" s="8" t="n">
        <v>24</v>
      </c>
      <c r="AI25" s="3" t="n"/>
    </row>
    <row r="26">
      <c r="A26" s="1" t="n"/>
      <c r="D26" s="1" t="n"/>
      <c r="E26" s="3" t="n"/>
      <c r="G26" s="1" t="n"/>
      <c r="H26" s="3" t="n"/>
      <c r="J26" s="1" t="n"/>
      <c r="K26" s="3" t="n"/>
      <c r="Q26" s="3" t="n"/>
      <c r="T26" s="3" t="n"/>
      <c r="V26" s="6" t="n"/>
      <c r="W26" s="3" t="n"/>
      <c r="Y26" s="8" t="n"/>
      <c r="Z26" s="3" t="n"/>
      <c r="AB26" s="8" t="n"/>
      <c r="AC26" s="3" t="n"/>
      <c r="AE26" s="8" t="n">
        <v>25</v>
      </c>
      <c r="AF26" s="3" t="n"/>
      <c r="AH26" s="8" t="n">
        <v>25</v>
      </c>
      <c r="AI26" s="3" t="n"/>
    </row>
    <row r="27">
      <c r="A27" s="1" t="n"/>
      <c r="D27" s="1" t="n"/>
      <c r="E27" s="3" t="n"/>
      <c r="G27" s="1" t="n"/>
      <c r="H27" s="3" t="n"/>
      <c r="J27" s="1" t="n"/>
      <c r="K27" s="3" t="n"/>
      <c r="Q27" s="3" t="n"/>
      <c r="T27" s="3" t="n"/>
      <c r="V27" s="6" t="n"/>
      <c r="W27" s="3" t="n"/>
      <c r="Y27" s="8" t="n"/>
      <c r="Z27" s="3" t="n"/>
      <c r="AB27" s="8" t="n"/>
      <c r="AC27" s="3" t="n"/>
      <c r="AE27" s="8" t="n">
        <v>26</v>
      </c>
      <c r="AF27" s="3" t="n"/>
      <c r="AH27" s="8" t="n">
        <v>26</v>
      </c>
      <c r="AI27" s="3" t="n"/>
    </row>
    <row r="28">
      <c r="A28" s="1" t="n"/>
      <c r="D28" s="1" t="n"/>
      <c r="E28" s="3" t="n"/>
      <c r="G28" s="1" t="n"/>
      <c r="H28" s="3" t="n"/>
      <c r="J28" s="1" t="n"/>
      <c r="K28" s="3" t="n"/>
      <c r="Q28" s="3" t="n"/>
      <c r="T28" s="3" t="n"/>
      <c r="V28" s="6" t="n"/>
      <c r="W28" s="3" t="n"/>
      <c r="Y28" s="8" t="n"/>
      <c r="Z28" s="3" t="n"/>
      <c r="AB28" s="8" t="n"/>
      <c r="AC28" s="3" t="n"/>
      <c r="AE28" s="8" t="n">
        <v>27</v>
      </c>
      <c r="AF28" s="3" t="n"/>
      <c r="AH28" s="8" t="n">
        <v>27</v>
      </c>
      <c r="AI28" s="3" t="n"/>
    </row>
    <row r="29">
      <c r="A29" s="1" t="n"/>
      <c r="D29" s="1" t="n"/>
      <c r="E29" s="3" t="n"/>
      <c r="G29" s="1" t="n"/>
      <c r="H29" s="3" t="n"/>
      <c r="J29" s="1" t="n"/>
      <c r="K29" s="3" t="n"/>
      <c r="Q29" s="3" t="n"/>
      <c r="T29" s="3" t="n"/>
      <c r="V29" s="6" t="n"/>
      <c r="W29" s="3" t="n"/>
      <c r="Y29" s="8" t="n"/>
      <c r="Z29" s="3" t="n"/>
      <c r="AB29" s="8" t="n"/>
      <c r="AC29" s="3" t="n"/>
      <c r="AE29" s="8" t="n">
        <v>28</v>
      </c>
      <c r="AH29" s="8" t="n">
        <v>28</v>
      </c>
      <c r="AI29" s="3" t="n"/>
    </row>
    <row r="30">
      <c r="A30" s="1" t="n"/>
      <c r="D30" s="1" t="n"/>
      <c r="E30" s="3" t="n"/>
      <c r="G30" s="1" t="n"/>
      <c r="H30" s="3" t="n"/>
      <c r="J30" s="1" t="n"/>
      <c r="K30" s="3" t="n"/>
      <c r="Q30" s="3" t="n"/>
      <c r="T30" s="3" t="n"/>
      <c r="V30" s="6" t="n"/>
      <c r="W30" s="3" t="n"/>
      <c r="Y30" s="8" t="n"/>
      <c r="Z30" s="3" t="n"/>
      <c r="AB30" s="8" t="n"/>
      <c r="AC30" s="3" t="n"/>
      <c r="AE30" s="8" t="n">
        <v>29</v>
      </c>
      <c r="AF30" s="3" t="n"/>
      <c r="AH30" s="8" t="n">
        <v>29</v>
      </c>
      <c r="AI30" s="3" t="n"/>
    </row>
    <row r="31">
      <c r="A31" s="1" t="n"/>
      <c r="D31" s="1" t="n"/>
      <c r="E31" s="3" t="n"/>
      <c r="G31" s="1" t="n"/>
      <c r="H31" s="3" t="n"/>
      <c r="J31" s="1" t="n"/>
      <c r="K31" s="3" t="n"/>
      <c r="V31" s="6" t="n"/>
      <c r="Y31" s="8" t="n"/>
      <c r="Z31" s="3" t="n"/>
      <c r="AB31" s="8" t="n"/>
      <c r="AC31" s="3" t="n"/>
      <c r="AE31" s="8" t="n">
        <v>30</v>
      </c>
      <c r="AF31" s="3" t="n"/>
      <c r="AH31" s="8" t="n">
        <v>30</v>
      </c>
      <c r="AI31" s="3" t="n"/>
    </row>
    <row r="32">
      <c r="A32" s="1" t="n"/>
      <c r="D32" s="1" t="n"/>
      <c r="E32" s="3" t="n"/>
      <c r="J32" s="1" t="n"/>
      <c r="K32" s="3" t="n"/>
      <c r="V32" s="6" t="n"/>
      <c r="Y32" s="8" t="n"/>
      <c r="AB32" s="8" t="n"/>
      <c r="AE32" s="8" t="n">
        <v>31</v>
      </c>
      <c r="AH32" s="8" t="n">
        <v>31</v>
      </c>
    </row>
    <row r="33">
      <c r="E33" s="3" t="n"/>
    </row>
    <row r="34">
      <c r="E34" s="3" t="n"/>
      <c r="AA34" s="3" t="n"/>
      <c r="AD34" s="3" t="n"/>
    </row>
    <row r="35">
      <c r="E35" s="3" t="n"/>
      <c r="H35" s="3" t="n"/>
      <c r="K35" s="3" t="n"/>
      <c r="Q35" s="3" t="n"/>
      <c r="T35" s="3" t="n"/>
      <c r="W35" s="3" t="n"/>
      <c r="X35" s="3" t="n"/>
      <c r="Z35" s="3" t="n"/>
      <c r="AC35" s="3" t="n"/>
      <c r="AF35" s="3">
        <f>SUM(AF2:AF34)</f>
        <v/>
      </c>
      <c r="AI35" s="3">
        <f>SUM(AI2:AI34)</f>
        <v/>
      </c>
    </row>
  </sheetData>
  <mergeCells count="3">
    <mergeCell ref="D1:E1"/>
    <mergeCell ref="G1:H1"/>
    <mergeCell ref="A1:B1"/>
  </mergeCells>
  <conditionalFormatting sqref="B35">
    <cfRule type="cellIs" priority="42" operator="greaterThan" dxfId="0">
      <formula>0</formula>
    </cfRule>
    <cfRule type="cellIs" priority="41" operator="lessThan" dxfId="1">
      <formula>0</formula>
    </cfRule>
  </conditionalFormatting>
  <conditionalFormatting sqref="E2:E35">
    <cfRule type="cellIs" priority="40" operator="greaterThan" dxfId="0">
      <formula>0</formula>
    </cfRule>
    <cfRule type="cellIs" priority="39" operator="lessThan" dxfId="1">
      <formula>0</formula>
    </cfRule>
  </conditionalFormatting>
  <conditionalFormatting sqref="H2:H31">
    <cfRule type="cellIs" priority="38" operator="greaterThan" dxfId="0">
      <formula>0</formula>
    </cfRule>
    <cfRule type="cellIs" priority="37" operator="lessThan" dxfId="1">
      <formula>0</formula>
    </cfRule>
  </conditionalFormatting>
  <conditionalFormatting sqref="H35">
    <cfRule type="cellIs" priority="36" operator="greaterThan" dxfId="0">
      <formula>0</formula>
    </cfRule>
    <cfRule type="cellIs" priority="35" operator="lessThan" dxfId="1">
      <formula>0</formula>
    </cfRule>
  </conditionalFormatting>
  <conditionalFormatting sqref="K2:K32">
    <cfRule type="cellIs" priority="34" operator="greaterThan" dxfId="0">
      <formula>0</formula>
    </cfRule>
    <cfRule type="cellIs" priority="33" operator="lessThan" dxfId="1">
      <formula>0</formula>
    </cfRule>
  </conditionalFormatting>
  <conditionalFormatting sqref="K35">
    <cfRule type="cellIs" priority="32" operator="greaterThan" dxfId="0">
      <formula>0</formula>
    </cfRule>
    <cfRule type="cellIs" priority="31" operator="lessThan" dxfId="1">
      <formula>0</formula>
    </cfRule>
  </conditionalFormatting>
  <conditionalFormatting sqref="Q2:Q30">
    <cfRule type="cellIs" priority="30" operator="greaterThan" dxfId="0">
      <formula>0</formula>
    </cfRule>
    <cfRule type="cellIs" priority="29" operator="lessThan" dxfId="1">
      <formula>0</formula>
    </cfRule>
  </conditionalFormatting>
  <conditionalFormatting sqref="Q35">
    <cfRule type="cellIs" priority="28" operator="greaterThan" dxfId="0">
      <formula>0</formula>
    </cfRule>
    <cfRule type="cellIs" priority="27" operator="lessThan" dxfId="1">
      <formula>0</formula>
    </cfRule>
  </conditionalFormatting>
  <conditionalFormatting sqref="T2:T30">
    <cfRule type="cellIs" priority="26" operator="greaterThan" dxfId="0">
      <formula>0</formula>
    </cfRule>
    <cfRule type="cellIs" priority="25" operator="lessThan" dxfId="1">
      <formula>0</formula>
    </cfRule>
  </conditionalFormatting>
  <conditionalFormatting sqref="T35">
    <cfRule type="cellIs" priority="23" operator="lessThan" dxfId="1">
      <formula>0</formula>
    </cfRule>
    <cfRule type="cellIs" priority="24" operator="greaterThan" dxfId="0">
      <formula>0</formula>
    </cfRule>
  </conditionalFormatting>
  <conditionalFormatting sqref="W2:W30">
    <cfRule type="cellIs" priority="22" operator="greaterThan" dxfId="0">
      <formula>0</formula>
    </cfRule>
    <cfRule type="cellIs" priority="21" operator="lessThan" dxfId="1">
      <formula>0</formula>
    </cfRule>
  </conditionalFormatting>
  <conditionalFormatting sqref="W35:X35">
    <cfRule type="cellIs" priority="20" operator="greaterThan" dxfId="0">
      <formula>0</formula>
    </cfRule>
    <cfRule type="cellIs" priority="19" operator="lessThan" dxfId="1">
      <formula>0</formula>
    </cfRule>
  </conditionalFormatting>
  <conditionalFormatting sqref="Z2:Z31">
    <cfRule type="cellIs" priority="18" operator="greaterThan" dxfId="0">
      <formula>0</formula>
    </cfRule>
    <cfRule type="cellIs" priority="17" operator="lessThan" dxfId="1">
      <formula>0</formula>
    </cfRule>
  </conditionalFormatting>
  <conditionalFormatting sqref="AA6">
    <cfRule type="cellIs" priority="16" operator="greaterThan" dxfId="0">
      <formula>0</formula>
    </cfRule>
    <cfRule type="cellIs" priority="15" operator="lessThan" dxfId="1">
      <formula>0</formula>
    </cfRule>
  </conditionalFormatting>
  <conditionalFormatting sqref="AC2:AC31">
    <cfRule type="cellIs" priority="12" operator="greaterThan" dxfId="0">
      <formula>0</formula>
    </cfRule>
    <cfRule type="cellIs" priority="11" operator="lessThan" dxfId="1">
      <formula>0</formula>
    </cfRule>
  </conditionalFormatting>
  <conditionalFormatting sqref="AD6">
    <cfRule type="cellIs" priority="10" operator="greaterThan" dxfId="0">
      <formula>0</formula>
    </cfRule>
    <cfRule type="cellIs" priority="9" operator="lessThan" dxfId="1">
      <formula>0</formula>
    </cfRule>
  </conditionalFormatting>
  <conditionalFormatting sqref="AC35 AD34">
    <cfRule type="cellIs" priority="13" operator="lessThan" dxfId="1">
      <formula>0</formula>
    </cfRule>
    <cfRule type="cellIs" priority="14" operator="greaterThan" dxfId="0">
      <formula>0</formula>
    </cfRule>
  </conditionalFormatting>
  <conditionalFormatting sqref="B2:B32 Z35 AA34 AF2:AF28 AF30:AF31">
    <cfRule type="cellIs" priority="43" operator="lessThan" dxfId="1">
      <formula>0</formula>
    </cfRule>
    <cfRule type="cellIs" priority="44" operator="greaterThan" dxfId="0">
      <formula>0</formula>
    </cfRule>
  </conditionalFormatting>
  <conditionalFormatting sqref="AF35">
    <cfRule type="cellIs" priority="8" operator="greaterThan" dxfId="0">
      <formula>0</formula>
    </cfRule>
    <cfRule type="cellIs" priority="7" operator="lessThan" dxfId="1">
      <formula>0</formula>
    </cfRule>
  </conditionalFormatting>
  <conditionalFormatting sqref="AI2:AI31">
    <cfRule type="cellIs" priority="2" operator="greaterThan" dxfId="0">
      <formula>0</formula>
    </cfRule>
    <cfRule type="cellIs" priority="1" operator="lessThan" dxfId="1">
      <formula>0</formula>
    </cfRule>
  </conditionalFormatting>
  <conditionalFormatting sqref="AI35">
    <cfRule type="cellIs" priority="4" operator="greaterThan" dxfId="0">
      <formula>0</formula>
    </cfRule>
    <cfRule type="cellIs" priority="3" operator="lessThan" dxfId="1">
      <formula>0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C35"/>
  <sheetViews>
    <sheetView topLeftCell="G1" workbookViewId="0">
      <selection activeCell="AD28" sqref="AD28"/>
    </sheetView>
  </sheetViews>
  <sheetFormatPr baseColWidth="8" defaultRowHeight="15"/>
  <cols>
    <col width="18.42578125" customWidth="1" min="1" max="1"/>
    <col width="15.42578125" customWidth="1" style="3" min="2" max="2"/>
    <col width="11.5703125" customWidth="1" min="4" max="4"/>
    <col width="12.5703125" customWidth="1" min="5" max="5"/>
    <col width="10.42578125" bestFit="1" customWidth="1" min="7" max="7"/>
    <col width="9.85546875" bestFit="1" customWidth="1" min="8" max="8"/>
    <col width="10.42578125" bestFit="1" customWidth="1" min="10" max="10"/>
    <col width="9.85546875" bestFit="1" customWidth="1" min="11" max="11"/>
    <col width="10.140625" bestFit="1" customWidth="1" min="17" max="17"/>
    <col width="9.85546875" bestFit="1" customWidth="1" min="20" max="20"/>
    <col width="9.85546875" bestFit="1" customWidth="1" min="23" max="23"/>
    <col width="9.85546875" bestFit="1" customWidth="1" min="26" max="26"/>
  </cols>
  <sheetData>
    <row r="1" customFormat="1" s="2">
      <c r="A1" s="9" t="n"/>
      <c r="D1" s="9" t="n"/>
      <c r="G1" s="9" t="n"/>
      <c r="P1" s="2" t="inlineStr">
        <is>
          <t>Jun</t>
        </is>
      </c>
      <c r="S1" s="2" t="inlineStr">
        <is>
          <t>Jul</t>
        </is>
      </c>
      <c r="V1" s="2" t="inlineStr">
        <is>
          <t>Aug</t>
        </is>
      </c>
      <c r="Y1" s="2" t="inlineStr">
        <is>
          <t>Sep</t>
        </is>
      </c>
      <c r="AB1" s="2" t="inlineStr">
        <is>
          <t>Oct</t>
        </is>
      </c>
    </row>
    <row r="2">
      <c r="A2" s="1" t="n"/>
      <c r="D2" s="1" t="n"/>
      <c r="E2" s="3" t="n"/>
      <c r="G2" s="1" t="n"/>
      <c r="H2" s="3" t="n"/>
      <c r="J2" s="1" t="n"/>
      <c r="K2" s="3" t="n"/>
      <c r="P2" t="n">
        <v>2</v>
      </c>
      <c r="Q2" s="3" t="n"/>
      <c r="S2" t="n">
        <v>1</v>
      </c>
      <c r="T2" s="3" t="n">
        <v>-6305</v>
      </c>
      <c r="V2" t="n">
        <v>1</v>
      </c>
      <c r="W2" s="3" t="n"/>
      <c r="Y2" t="n">
        <v>1</v>
      </c>
      <c r="Z2" s="3" t="n"/>
      <c r="AB2" t="n">
        <v>1</v>
      </c>
      <c r="AC2" s="3" t="n">
        <v>1860</v>
      </c>
    </row>
    <row r="3">
      <c r="A3" s="1" t="n"/>
      <c r="D3" s="1" t="n"/>
      <c r="E3" s="3" t="n"/>
      <c r="G3" s="1" t="n"/>
      <c r="H3" s="3" t="n"/>
      <c r="J3" s="1" t="n"/>
      <c r="K3" s="3" t="n"/>
      <c r="P3" t="n">
        <v>3</v>
      </c>
      <c r="Q3" s="3" t="n"/>
      <c r="S3" t="n">
        <v>2</v>
      </c>
      <c r="T3" s="3" t="n">
        <v>1195</v>
      </c>
      <c r="V3" t="n">
        <v>2</v>
      </c>
      <c r="W3" s="3" t="n">
        <v>935</v>
      </c>
      <c r="Y3" t="n">
        <v>2</v>
      </c>
      <c r="Z3" s="3" t="n"/>
      <c r="AB3" t="n">
        <v>2</v>
      </c>
      <c r="AC3" s="3" t="n"/>
    </row>
    <row r="4">
      <c r="A4" s="1" t="n"/>
      <c r="D4" s="1" t="n"/>
      <c r="E4" s="3" t="n"/>
      <c r="G4" s="1" t="n"/>
      <c r="H4" s="3" t="n"/>
      <c r="J4" s="1" t="n"/>
      <c r="K4" s="3" t="n"/>
      <c r="P4" t="n">
        <v>4</v>
      </c>
      <c r="Q4" s="3" t="n"/>
      <c r="S4" t="n">
        <v>3</v>
      </c>
      <c r="T4" s="3" t="n">
        <v>-480</v>
      </c>
      <c r="V4" t="n">
        <v>3</v>
      </c>
      <c r="W4" s="3" t="n"/>
      <c r="Y4" t="n">
        <v>3</v>
      </c>
      <c r="Z4" s="3" t="n">
        <v>-950</v>
      </c>
      <c r="AB4" t="n">
        <v>3</v>
      </c>
      <c r="AC4" s="3" t="n"/>
    </row>
    <row r="5">
      <c r="A5" s="1" t="n"/>
      <c r="D5" s="1" t="n"/>
      <c r="E5" s="3" t="n"/>
      <c r="G5" s="1" t="n"/>
      <c r="H5" s="3" t="n"/>
      <c r="J5" s="1" t="n"/>
      <c r="K5" s="3" t="n"/>
      <c r="P5" t="n">
        <v>5</v>
      </c>
      <c r="Q5" s="3" t="n"/>
      <c r="S5" t="n">
        <v>4</v>
      </c>
      <c r="T5" s="3" t="n"/>
      <c r="V5" t="n">
        <v>4</v>
      </c>
      <c r="W5" s="3" t="n"/>
      <c r="Y5" t="n">
        <v>4</v>
      </c>
      <c r="Z5" s="3" t="n">
        <v>-2185</v>
      </c>
      <c r="AB5" t="n">
        <v>4</v>
      </c>
      <c r="AC5" s="3" t="n"/>
    </row>
    <row r="6">
      <c r="A6" s="1" t="n"/>
      <c r="D6" s="1" t="n"/>
      <c r="E6" s="3" t="n"/>
      <c r="G6" s="1" t="n"/>
      <c r="H6" s="3" t="n"/>
      <c r="J6" s="1" t="n"/>
      <c r="K6" s="3" t="n"/>
      <c r="P6" t="n">
        <v>6</v>
      </c>
      <c r="Q6" s="3" t="n"/>
      <c r="S6" t="n">
        <v>5</v>
      </c>
      <c r="T6" s="3" t="n"/>
      <c r="V6" t="n">
        <v>5</v>
      </c>
      <c r="W6" s="3" t="n"/>
      <c r="Y6" t="n">
        <v>5</v>
      </c>
      <c r="Z6" s="3" t="n"/>
      <c r="AB6" t="n">
        <v>5</v>
      </c>
      <c r="AC6" s="3" t="n"/>
    </row>
    <row r="7">
      <c r="A7" s="1" t="n"/>
      <c r="D7" s="1" t="n"/>
      <c r="E7" s="3" t="n"/>
      <c r="G7" s="1" t="n"/>
      <c r="H7" s="3" t="n"/>
      <c r="J7" s="1" t="n"/>
      <c r="K7" s="3" t="n"/>
      <c r="P7" t="n">
        <v>7</v>
      </c>
      <c r="Q7" s="3" t="n"/>
      <c r="S7" t="n">
        <v>6</v>
      </c>
      <c r="T7" s="3" t="n"/>
      <c r="V7" t="n">
        <v>6</v>
      </c>
      <c r="W7" s="3" t="n">
        <v>1955</v>
      </c>
      <c r="Y7" t="n">
        <v>6</v>
      </c>
      <c r="Z7" s="3" t="n"/>
      <c r="AB7" t="n">
        <v>6</v>
      </c>
      <c r="AC7" s="3" t="n"/>
    </row>
    <row r="8">
      <c r="A8" s="1" t="n"/>
      <c r="D8" s="1" t="n"/>
      <c r="E8" s="3" t="n"/>
      <c r="G8" s="1" t="n"/>
      <c r="H8" s="3" t="n"/>
      <c r="J8" s="1" t="n"/>
      <c r="K8" s="3" t="n"/>
      <c r="P8" t="n">
        <v>8</v>
      </c>
      <c r="Q8" s="3" t="n"/>
      <c r="S8" t="n">
        <v>7</v>
      </c>
      <c r="T8" s="3" t="n">
        <v>-1105</v>
      </c>
      <c r="V8" t="n">
        <v>7</v>
      </c>
      <c r="W8" s="3" t="n"/>
      <c r="Y8" t="n">
        <v>7</v>
      </c>
      <c r="Z8" s="3" t="n"/>
      <c r="AB8" t="n">
        <v>7</v>
      </c>
      <c r="AC8" s="3" t="n"/>
    </row>
    <row r="9">
      <c r="A9" s="1" t="n"/>
      <c r="D9" s="1" t="n"/>
      <c r="E9" s="3" t="n"/>
      <c r="G9" s="1" t="n"/>
      <c r="H9" s="3" t="n"/>
      <c r="J9" s="1" t="n"/>
      <c r="K9" s="3" t="n"/>
      <c r="P9" t="n">
        <v>9</v>
      </c>
      <c r="Q9" s="3" t="n"/>
      <c r="S9" t="n">
        <v>8</v>
      </c>
      <c r="T9" s="3" t="n">
        <v>1921</v>
      </c>
      <c r="V9" t="n">
        <v>8</v>
      </c>
      <c r="W9" s="3" t="n"/>
      <c r="Y9" t="n">
        <v>8</v>
      </c>
      <c r="Z9" s="3" t="n"/>
      <c r="AB9" t="n">
        <v>8</v>
      </c>
      <c r="AC9" s="3" t="n">
        <v>1200</v>
      </c>
    </row>
    <row r="10">
      <c r="A10" s="1" t="n"/>
      <c r="D10" s="1" t="n"/>
      <c r="E10" s="3" t="n"/>
      <c r="G10" s="1" t="n"/>
      <c r="H10" s="3" t="n"/>
      <c r="J10" s="1" t="n"/>
      <c r="K10" s="3" t="n"/>
      <c r="P10" t="n">
        <v>10</v>
      </c>
      <c r="Q10" s="3" t="n"/>
      <c r="S10" t="n">
        <v>9</v>
      </c>
      <c r="T10" s="3" t="n">
        <v>-550</v>
      </c>
      <c r="V10" t="n">
        <v>9</v>
      </c>
      <c r="W10" s="3" t="n"/>
      <c r="Y10" t="n">
        <v>9</v>
      </c>
      <c r="Z10" s="3" t="n"/>
      <c r="AB10" t="n">
        <v>9</v>
      </c>
      <c r="AC10" s="3" t="n"/>
    </row>
    <row r="11">
      <c r="A11" s="1" t="n"/>
      <c r="D11" s="1" t="n"/>
      <c r="E11" s="3" t="n"/>
      <c r="G11" s="1" t="n"/>
      <c r="H11" s="3" t="n"/>
      <c r="J11" s="1" t="n"/>
      <c r="K11" s="3" t="n"/>
      <c r="P11" t="n">
        <v>11</v>
      </c>
      <c r="Q11" s="3" t="n"/>
      <c r="S11" t="n">
        <v>10</v>
      </c>
      <c r="T11" s="3" t="n">
        <v>-2065</v>
      </c>
      <c r="V11" t="n">
        <v>10</v>
      </c>
      <c r="W11" s="3" t="n"/>
      <c r="Y11" t="n">
        <v>10</v>
      </c>
      <c r="Z11" s="3" t="n">
        <v>-1515</v>
      </c>
      <c r="AB11" t="n">
        <v>10</v>
      </c>
      <c r="AC11" s="3" t="n"/>
    </row>
    <row r="12">
      <c r="A12" s="1" t="n"/>
      <c r="D12" s="1" t="n"/>
      <c r="E12" s="3" t="n"/>
      <c r="G12" s="1" t="n"/>
      <c r="H12" s="3" t="n"/>
      <c r="J12" s="1" t="n"/>
      <c r="K12" s="3" t="n"/>
      <c r="P12" t="n">
        <v>12</v>
      </c>
      <c r="Q12" s="3" t="n"/>
      <c r="S12" t="n">
        <v>11</v>
      </c>
      <c r="T12" s="3" t="n">
        <v>-1730</v>
      </c>
      <c r="V12" t="n">
        <v>11</v>
      </c>
      <c r="W12" s="3" t="n"/>
      <c r="Y12" t="n">
        <v>11</v>
      </c>
      <c r="Z12" s="3" t="n"/>
      <c r="AB12" t="n">
        <v>11</v>
      </c>
      <c r="AC12" s="3" t="n"/>
    </row>
    <row r="13">
      <c r="A13" s="1" t="n"/>
      <c r="D13" s="1" t="n"/>
      <c r="E13" s="3" t="n"/>
      <c r="G13" s="1" t="n"/>
      <c r="H13" s="3" t="n"/>
      <c r="J13" s="1" t="n"/>
      <c r="K13" s="3" t="n"/>
      <c r="P13" t="n">
        <v>13</v>
      </c>
      <c r="Q13" s="3" t="n"/>
      <c r="S13" t="n">
        <v>12</v>
      </c>
      <c r="T13" s="3" t="n"/>
      <c r="V13" t="n">
        <v>12</v>
      </c>
      <c r="W13" s="3" t="n"/>
      <c r="Y13" t="n">
        <v>12</v>
      </c>
      <c r="Z13" s="3" t="n"/>
      <c r="AB13" t="n">
        <v>12</v>
      </c>
      <c r="AC13" s="3" t="n"/>
    </row>
    <row r="14">
      <c r="A14" s="1" t="n"/>
      <c r="D14" s="1" t="n"/>
      <c r="E14" s="3" t="n"/>
      <c r="G14" s="1" t="n"/>
      <c r="H14" s="3" t="n"/>
      <c r="J14" s="1" t="n"/>
      <c r="K14" s="3" t="n"/>
      <c r="P14" t="n">
        <v>14</v>
      </c>
      <c r="Q14" s="3" t="n"/>
      <c r="S14" t="n">
        <v>13</v>
      </c>
      <c r="T14" s="3" t="n"/>
      <c r="V14" t="n">
        <v>13</v>
      </c>
      <c r="W14" s="3" t="n">
        <v>-45</v>
      </c>
      <c r="Y14" t="n">
        <v>13</v>
      </c>
      <c r="Z14" s="3" t="n"/>
      <c r="AB14" t="n">
        <v>13</v>
      </c>
      <c r="AC14" s="3" t="n"/>
    </row>
    <row r="15">
      <c r="A15" s="1" t="n"/>
      <c r="D15" s="1" t="n"/>
      <c r="E15" s="3" t="n"/>
      <c r="G15" s="1" t="n"/>
      <c r="H15" s="3" t="n"/>
      <c r="J15" s="1" t="n"/>
      <c r="K15" s="3" t="n"/>
      <c r="P15" t="n">
        <v>15</v>
      </c>
      <c r="Q15" s="3" t="n"/>
      <c r="S15" t="n">
        <v>14</v>
      </c>
      <c r="T15" s="3" t="n">
        <v>1442</v>
      </c>
      <c r="V15" t="n">
        <v>14</v>
      </c>
      <c r="W15" s="3" t="n">
        <v>2127</v>
      </c>
      <c r="Y15" t="n">
        <v>14</v>
      </c>
      <c r="Z15" s="3" t="n"/>
      <c r="AB15" t="n">
        <v>14</v>
      </c>
      <c r="AC15" s="3" t="n"/>
    </row>
    <row r="16">
      <c r="A16" s="1" t="n"/>
      <c r="D16" s="1" t="n"/>
      <c r="E16" s="3" t="n"/>
      <c r="G16" s="1" t="n"/>
      <c r="H16" s="3" t="n"/>
      <c r="J16" s="1" t="n"/>
      <c r="K16" s="3" t="n"/>
      <c r="P16" t="n">
        <v>16</v>
      </c>
      <c r="Q16" s="3" t="n">
        <v>2110</v>
      </c>
      <c r="S16" t="n">
        <v>15</v>
      </c>
      <c r="T16" s="3" t="n">
        <v>-2120</v>
      </c>
      <c r="V16" t="n">
        <v>15</v>
      </c>
      <c r="W16" s="3" t="n"/>
      <c r="Y16" t="n">
        <v>15</v>
      </c>
      <c r="Z16" s="3" t="n"/>
      <c r="AB16" t="n">
        <v>15</v>
      </c>
      <c r="AC16" s="3" t="n"/>
    </row>
    <row r="17">
      <c r="A17" s="1" t="n"/>
      <c r="D17" s="1" t="n"/>
      <c r="E17" s="3" t="n"/>
      <c r="G17" s="1" t="n"/>
      <c r="H17" s="3" t="n"/>
      <c r="J17" s="1" t="n"/>
      <c r="K17" s="3" t="n"/>
      <c r="P17" t="n">
        <v>17</v>
      </c>
      <c r="Q17" s="3" t="n">
        <v>1625</v>
      </c>
      <c r="S17" t="n">
        <v>16</v>
      </c>
      <c r="T17" s="3" t="n"/>
      <c r="V17" t="n">
        <v>16</v>
      </c>
      <c r="W17" s="3" t="n"/>
      <c r="Y17" t="n">
        <v>16</v>
      </c>
      <c r="Z17" s="3" t="n"/>
      <c r="AB17" t="n">
        <v>16</v>
      </c>
      <c r="AC17" s="3" t="n"/>
    </row>
    <row r="18">
      <c r="A18" s="1" t="n"/>
      <c r="D18" s="1" t="n"/>
      <c r="E18" s="3" t="n"/>
      <c r="G18" s="1" t="n"/>
      <c r="H18" s="3" t="n"/>
      <c r="J18" s="1" t="n"/>
      <c r="K18" s="3" t="n"/>
      <c r="P18" t="n">
        <v>18</v>
      </c>
      <c r="Q18" s="3" t="n">
        <v>1459</v>
      </c>
      <c r="S18" t="n">
        <v>17</v>
      </c>
      <c r="T18" s="3" t="n">
        <v>1669</v>
      </c>
      <c r="V18" t="n">
        <v>17</v>
      </c>
      <c r="W18" s="3" t="n"/>
      <c r="Y18" t="n">
        <v>17</v>
      </c>
      <c r="Z18" s="3" t="n"/>
      <c r="AB18" t="n">
        <v>17</v>
      </c>
      <c r="AC18" s="3" t="n"/>
    </row>
    <row r="19">
      <c r="A19" s="1" t="n"/>
      <c r="D19" s="1" t="n"/>
      <c r="E19" s="3" t="n"/>
      <c r="G19" s="1" t="n"/>
      <c r="H19" s="3" t="n"/>
      <c r="J19" s="1" t="n"/>
      <c r="K19" s="3" t="n"/>
      <c r="P19" t="n">
        <v>19</v>
      </c>
      <c r="Q19" s="3" t="n"/>
      <c r="S19" t="n">
        <v>18</v>
      </c>
      <c r="T19" s="3" t="n"/>
      <c r="V19" t="n">
        <v>18</v>
      </c>
      <c r="W19" s="3" t="n"/>
      <c r="Y19" t="n">
        <v>18</v>
      </c>
      <c r="Z19" s="3" t="n">
        <v>1310</v>
      </c>
      <c r="AB19" t="n">
        <v>18</v>
      </c>
      <c r="AC19" s="3" t="n"/>
    </row>
    <row r="20">
      <c r="A20" s="1" t="n"/>
      <c r="D20" s="1" t="n"/>
      <c r="E20" s="3" t="n"/>
      <c r="G20" s="1" t="n"/>
      <c r="H20" s="3" t="n"/>
      <c r="J20" s="1" t="n"/>
      <c r="K20" s="3" t="n"/>
      <c r="P20" t="n">
        <v>20</v>
      </c>
      <c r="Q20" s="3" t="n">
        <v>1120</v>
      </c>
      <c r="S20" t="n">
        <v>19</v>
      </c>
      <c r="T20" s="3" t="n"/>
      <c r="V20" t="n">
        <v>19</v>
      </c>
      <c r="W20" s="3" t="n"/>
      <c r="Y20" t="n">
        <v>19</v>
      </c>
      <c r="Z20" s="3" t="n"/>
      <c r="AB20" t="n">
        <v>19</v>
      </c>
      <c r="AC20" s="3" t="n"/>
    </row>
    <row r="21">
      <c r="A21" s="1" t="n"/>
      <c r="D21" s="1" t="n"/>
      <c r="E21" s="3" t="n"/>
      <c r="G21" s="1" t="n"/>
      <c r="H21" s="3" t="n"/>
      <c r="J21" s="1" t="n"/>
      <c r="K21" s="3" t="n"/>
      <c r="P21" t="n">
        <v>21</v>
      </c>
      <c r="Q21" s="3" t="n"/>
      <c r="S21" t="n">
        <v>20</v>
      </c>
      <c r="T21" s="3" t="n"/>
      <c r="V21" t="n">
        <v>20</v>
      </c>
      <c r="W21" s="3" t="n">
        <v>-1643</v>
      </c>
      <c r="Y21" t="n">
        <v>20</v>
      </c>
      <c r="Z21" s="3" t="n"/>
      <c r="AB21" t="n">
        <v>20</v>
      </c>
      <c r="AC21" s="3" t="n"/>
    </row>
    <row r="22">
      <c r="A22" s="1" t="n"/>
      <c r="D22" s="1" t="n"/>
      <c r="E22" s="3" t="n"/>
      <c r="G22" s="1" t="n"/>
      <c r="H22" s="3" t="n"/>
      <c r="J22" s="1" t="n"/>
      <c r="K22" s="3" t="n"/>
      <c r="P22" t="n">
        <v>22</v>
      </c>
      <c r="Q22" s="3" t="n"/>
      <c r="S22" t="n">
        <v>21</v>
      </c>
      <c r="T22" s="3" t="n"/>
      <c r="V22" t="n">
        <v>21</v>
      </c>
      <c r="W22" s="3" t="n">
        <v>2675</v>
      </c>
      <c r="Y22" t="n">
        <v>21</v>
      </c>
      <c r="Z22" s="3" t="n"/>
      <c r="AB22" t="n">
        <v>21</v>
      </c>
      <c r="AC22" s="3" t="n"/>
    </row>
    <row r="23">
      <c r="A23" s="1" t="n"/>
      <c r="D23" s="1" t="n"/>
      <c r="E23" s="3" t="n"/>
      <c r="G23" s="1" t="n"/>
      <c r="H23" s="3" t="n"/>
      <c r="J23" s="1" t="n"/>
      <c r="K23" s="3" t="n"/>
      <c r="P23" t="n">
        <v>23</v>
      </c>
      <c r="Q23" s="3" t="n">
        <v>360</v>
      </c>
      <c r="S23" t="n">
        <v>22</v>
      </c>
      <c r="T23" s="3" t="n"/>
      <c r="V23" t="n">
        <v>22</v>
      </c>
      <c r="W23" s="3" t="n"/>
      <c r="Y23" t="n">
        <v>22</v>
      </c>
      <c r="Z23" s="3" t="n"/>
      <c r="AB23" t="n">
        <v>22</v>
      </c>
      <c r="AC23" s="3" t="n"/>
    </row>
    <row r="24">
      <c r="A24" s="1" t="n"/>
      <c r="D24" s="1" t="n"/>
      <c r="E24" s="3" t="n"/>
      <c r="G24" s="1" t="n"/>
      <c r="H24" s="3" t="n"/>
      <c r="J24" s="1" t="n"/>
      <c r="K24" s="3" t="n"/>
      <c r="P24" t="n">
        <v>24</v>
      </c>
      <c r="Q24" s="3" t="n">
        <v>2391</v>
      </c>
      <c r="S24" t="n">
        <v>23</v>
      </c>
      <c r="T24" s="3" t="n">
        <v>802</v>
      </c>
      <c r="V24" t="n">
        <v>23</v>
      </c>
      <c r="W24" s="3" t="n"/>
      <c r="Y24" t="n">
        <v>23</v>
      </c>
      <c r="Z24" s="3" t="n"/>
      <c r="AB24" t="n">
        <v>23</v>
      </c>
      <c r="AC24" s="3" t="n"/>
    </row>
    <row r="25">
      <c r="A25" s="1" t="n"/>
      <c r="D25" s="1" t="n"/>
      <c r="E25" s="3" t="n"/>
      <c r="G25" s="1" t="n"/>
      <c r="H25" s="3" t="n"/>
      <c r="J25" s="1" t="n"/>
      <c r="K25" s="3" t="n"/>
      <c r="P25" t="n">
        <v>25</v>
      </c>
      <c r="Q25" s="3" t="n">
        <v>2429</v>
      </c>
      <c r="S25" t="n">
        <v>24</v>
      </c>
      <c r="T25" s="3" t="n">
        <v>-2560</v>
      </c>
      <c r="V25" t="n">
        <v>24</v>
      </c>
      <c r="W25" s="3" t="n"/>
      <c r="Y25" t="n">
        <v>24</v>
      </c>
      <c r="Z25" s="3" t="n">
        <v>1090</v>
      </c>
      <c r="AB25" t="n">
        <v>24</v>
      </c>
      <c r="AC25" s="3" t="n"/>
    </row>
    <row r="26">
      <c r="A26" s="1" t="n"/>
      <c r="D26" s="1" t="n"/>
      <c r="E26" s="3" t="n"/>
      <c r="G26" s="1" t="n"/>
      <c r="H26" s="3" t="n"/>
      <c r="J26" s="1" t="n"/>
      <c r="K26" s="3" t="n"/>
      <c r="P26" t="n">
        <v>26</v>
      </c>
      <c r="Q26" s="3" t="n">
        <v>2350</v>
      </c>
      <c r="S26" t="n">
        <v>25</v>
      </c>
      <c r="T26" s="3" t="n"/>
      <c r="V26" t="n">
        <v>25</v>
      </c>
      <c r="W26" s="3" t="n">
        <v>-475</v>
      </c>
      <c r="Y26" t="n">
        <v>25</v>
      </c>
      <c r="Z26" s="3" t="n">
        <v>823</v>
      </c>
      <c r="AB26" t="n">
        <v>25</v>
      </c>
      <c r="AC26" s="3" t="n"/>
    </row>
    <row r="27">
      <c r="A27" s="1" t="n"/>
      <c r="D27" s="1" t="n"/>
      <c r="E27" s="3" t="n"/>
      <c r="G27" s="1" t="n"/>
      <c r="H27" s="3" t="n"/>
      <c r="J27" s="1" t="n"/>
      <c r="K27" s="3" t="n"/>
      <c r="P27" t="n">
        <v>27</v>
      </c>
      <c r="Q27" s="3" t="n">
        <v>-4560</v>
      </c>
      <c r="S27" t="n">
        <v>26</v>
      </c>
      <c r="T27" s="3" t="n"/>
      <c r="V27" t="n">
        <v>26</v>
      </c>
      <c r="W27" s="3" t="n"/>
      <c r="Y27" t="n">
        <v>26</v>
      </c>
      <c r="Z27" s="3" t="n"/>
      <c r="AB27" t="n">
        <v>26</v>
      </c>
      <c r="AC27" s="3" t="n"/>
    </row>
    <row r="28">
      <c r="A28" s="1" t="n"/>
      <c r="D28" s="1" t="n"/>
      <c r="E28" s="3" t="n"/>
      <c r="G28" s="1" t="n"/>
      <c r="H28" s="3" t="n"/>
      <c r="J28" s="1" t="n"/>
      <c r="K28" s="3" t="n"/>
      <c r="P28" t="n">
        <v>28</v>
      </c>
      <c r="Q28" s="3" t="n"/>
      <c r="S28" t="n">
        <v>27</v>
      </c>
      <c r="T28" s="3" t="n"/>
      <c r="V28" t="n">
        <v>27</v>
      </c>
      <c r="W28" s="3" t="n">
        <v>-1092.5</v>
      </c>
      <c r="Y28" t="n">
        <v>27</v>
      </c>
      <c r="Z28" s="3" t="n"/>
      <c r="AB28" t="n">
        <v>27</v>
      </c>
      <c r="AC28" s="3" t="n"/>
    </row>
    <row r="29">
      <c r="A29" s="1" t="n"/>
      <c r="D29" s="1" t="n"/>
      <c r="E29" s="3" t="n"/>
      <c r="G29" s="1" t="n"/>
      <c r="H29" s="3" t="n"/>
      <c r="J29" s="1" t="n"/>
      <c r="K29" s="3" t="n"/>
      <c r="P29" t="n">
        <v>29</v>
      </c>
      <c r="Q29" s="3" t="n"/>
      <c r="S29" t="n">
        <v>28</v>
      </c>
      <c r="T29" s="3" t="n">
        <v>1110</v>
      </c>
      <c r="V29" t="n">
        <v>28</v>
      </c>
      <c r="W29" s="3" t="n">
        <v>1210</v>
      </c>
      <c r="Y29" t="n">
        <v>28</v>
      </c>
      <c r="Z29" s="3" t="n"/>
      <c r="AB29" t="n">
        <v>28</v>
      </c>
      <c r="AC29" s="3" t="n"/>
    </row>
    <row r="30">
      <c r="A30" s="1" t="n"/>
      <c r="D30" s="1" t="n"/>
      <c r="E30" s="3" t="n"/>
      <c r="G30" s="1" t="n"/>
      <c r="H30" s="3" t="n"/>
      <c r="J30" s="1" t="n"/>
      <c r="K30" s="3" t="n"/>
      <c r="P30" t="n">
        <v>30</v>
      </c>
      <c r="Q30" s="3" t="n"/>
      <c r="S30" t="n">
        <v>29</v>
      </c>
      <c r="T30" s="3" t="n"/>
      <c r="V30" t="n">
        <v>29</v>
      </c>
      <c r="W30" s="3" t="n"/>
      <c r="Y30" t="n">
        <v>29</v>
      </c>
      <c r="Z30" s="3" t="n"/>
      <c r="AB30" t="n">
        <v>29</v>
      </c>
      <c r="AC30" s="3" t="n"/>
    </row>
    <row r="31">
      <c r="A31" s="1" t="n"/>
      <c r="D31" s="1" t="n"/>
      <c r="E31" s="3" t="n"/>
      <c r="G31" s="1" t="n"/>
      <c r="H31" s="3" t="n"/>
      <c r="J31" s="1" t="n"/>
      <c r="K31" s="3" t="n"/>
      <c r="S31" t="n">
        <v>30</v>
      </c>
      <c r="V31" t="n">
        <v>30</v>
      </c>
      <c r="Y31" t="n">
        <v>30</v>
      </c>
      <c r="AB31" t="n">
        <v>30</v>
      </c>
    </row>
    <row r="32">
      <c r="A32" s="1" t="n"/>
      <c r="D32" s="1" t="n"/>
      <c r="E32" s="3" t="n"/>
      <c r="J32" s="1" t="n"/>
      <c r="K32" s="3" t="n"/>
      <c r="S32" t="n">
        <v>31</v>
      </c>
      <c r="V32" t="n">
        <v>31</v>
      </c>
      <c r="Y32" t="n">
        <v>31</v>
      </c>
      <c r="AB32" t="n">
        <v>31</v>
      </c>
    </row>
    <row r="33">
      <c r="E33" s="3" t="n"/>
    </row>
    <row r="34">
      <c r="E34" s="3" t="n"/>
    </row>
    <row r="35">
      <c r="E35" s="3" t="n"/>
      <c r="H35" s="3" t="n"/>
      <c r="K35" s="3" t="n"/>
      <c r="Q35" s="3">
        <f>SUM(Q2:Q34)</f>
        <v/>
      </c>
      <c r="T35" s="3">
        <f>SUM(T2:T34)</f>
        <v/>
      </c>
      <c r="W35" s="3">
        <f>SUM(W2:W34)</f>
        <v/>
      </c>
      <c r="Z35" s="3">
        <f>SUM(Z2:Z34)</f>
        <v/>
      </c>
      <c r="AC35" s="3">
        <f>SUM(AC2:AC34)</f>
        <v/>
      </c>
    </row>
  </sheetData>
  <mergeCells count="3">
    <mergeCell ref="D1:E1"/>
    <mergeCell ref="G1:H1"/>
    <mergeCell ref="A1:B1"/>
  </mergeCells>
  <conditionalFormatting sqref="B2:B32">
    <cfRule type="cellIs" priority="34" operator="greaterThan" dxfId="0">
      <formula>0</formula>
    </cfRule>
    <cfRule type="cellIs" priority="33" operator="lessThan" dxfId="1">
      <formula>0</formula>
    </cfRule>
  </conditionalFormatting>
  <conditionalFormatting sqref="B35">
    <cfRule type="cellIs" priority="32" operator="greaterThan" dxfId="0">
      <formula>0</formula>
    </cfRule>
    <cfRule type="cellIs" priority="31" operator="lessThan" dxfId="1">
      <formula>0</formula>
    </cfRule>
  </conditionalFormatting>
  <conditionalFormatting sqref="E2:E35">
    <cfRule type="cellIs" priority="30" operator="greaterThan" dxfId="0">
      <formula>0</formula>
    </cfRule>
    <cfRule type="cellIs" priority="29" operator="lessThan" dxfId="1">
      <formula>0</formula>
    </cfRule>
  </conditionalFormatting>
  <conditionalFormatting sqref="H2:H31">
    <cfRule type="cellIs" priority="28" operator="greaterThan" dxfId="0">
      <formula>0</formula>
    </cfRule>
    <cfRule type="cellIs" priority="27" operator="lessThan" dxfId="1">
      <formula>0</formula>
    </cfRule>
  </conditionalFormatting>
  <conditionalFormatting sqref="H35">
    <cfRule type="cellIs" priority="26" operator="greaterThan" dxfId="0">
      <formula>0</formula>
    </cfRule>
    <cfRule type="cellIs" priority="25" operator="lessThan" dxfId="1">
      <formula>0</formula>
    </cfRule>
  </conditionalFormatting>
  <conditionalFormatting sqref="K2:K32">
    <cfRule type="cellIs" priority="24" operator="greaterThan" dxfId="0">
      <formula>0</formula>
    </cfRule>
    <cfRule type="cellIs" priority="23" operator="lessThan" dxfId="1">
      <formula>0</formula>
    </cfRule>
  </conditionalFormatting>
  <conditionalFormatting sqref="K35">
    <cfRule type="cellIs" priority="22" operator="greaterThan" dxfId="0">
      <formula>0</formula>
    </cfRule>
    <cfRule type="cellIs" priority="21" operator="lessThan" dxfId="1">
      <formula>0</formula>
    </cfRule>
  </conditionalFormatting>
  <conditionalFormatting sqref="Q2:Q30">
    <cfRule type="cellIs" priority="20" operator="greaterThan" dxfId="0">
      <formula>0</formula>
    </cfRule>
    <cfRule type="cellIs" priority="19" operator="lessThan" dxfId="1">
      <formula>0</formula>
    </cfRule>
  </conditionalFormatting>
  <conditionalFormatting sqref="Q35">
    <cfRule type="cellIs" priority="17" operator="lessThan" dxfId="1">
      <formula>0</formula>
    </cfRule>
    <cfRule type="cellIs" priority="18" operator="greaterThan" dxfId="0">
      <formula>0</formula>
    </cfRule>
  </conditionalFormatting>
  <conditionalFormatting sqref="T2:T30">
    <cfRule type="cellIs" priority="16" operator="greaterThan" dxfId="0">
      <formula>0</formula>
    </cfRule>
    <cfRule type="cellIs" priority="15" operator="lessThan" dxfId="1">
      <formula>0</formula>
    </cfRule>
  </conditionalFormatting>
  <conditionalFormatting sqref="T35">
    <cfRule type="cellIs" priority="14" operator="greaterThan" dxfId="0">
      <formula>0</formula>
    </cfRule>
    <cfRule type="cellIs" priority="13" operator="lessThan" dxfId="1">
      <formula>0</formula>
    </cfRule>
  </conditionalFormatting>
  <conditionalFormatting sqref="W2:W30">
    <cfRule type="cellIs" priority="12" operator="greaterThan" dxfId="0">
      <formula>0</formula>
    </cfRule>
    <cfRule type="cellIs" priority="11" operator="lessThan" dxfId="1">
      <formula>0</formula>
    </cfRule>
  </conditionalFormatting>
  <conditionalFormatting sqref="W35">
    <cfRule type="cellIs" priority="10" operator="greaterThan" dxfId="0">
      <formula>0</formula>
    </cfRule>
    <cfRule type="cellIs" priority="9" operator="lessThan" dxfId="1">
      <formula>0</formula>
    </cfRule>
  </conditionalFormatting>
  <conditionalFormatting sqref="Z2:Z30">
    <cfRule type="cellIs" priority="8" operator="greaterThan" dxfId="0">
      <formula>0</formula>
    </cfRule>
    <cfRule type="cellIs" priority="7" operator="lessThan" dxfId="1">
      <formula>0</formula>
    </cfRule>
  </conditionalFormatting>
  <conditionalFormatting sqref="Z35">
    <cfRule type="cellIs" priority="6" operator="greaterThan" dxfId="0">
      <formula>0</formula>
    </cfRule>
    <cfRule type="cellIs" priority="5" operator="lessThan" dxfId="1">
      <formula>0</formula>
    </cfRule>
  </conditionalFormatting>
  <conditionalFormatting sqref="AC2:AC30">
    <cfRule type="cellIs" priority="4" operator="greaterThan" dxfId="0">
      <formula>0</formula>
    </cfRule>
    <cfRule type="cellIs" priority="3" operator="lessThan" dxfId="1">
      <formula>0</formula>
    </cfRule>
  </conditionalFormatting>
  <conditionalFormatting sqref="AC35">
    <cfRule type="cellIs" priority="2" operator="greaterThan" dxfId="0">
      <formula>0</formula>
    </cfRule>
    <cfRule type="cellIs" priority="1" operator="lessThan" dxfId="1">
      <formula>0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T13" sqref="T13"/>
    </sheetView>
  </sheetViews>
  <sheetFormatPr baseColWidth="8" defaultRowHeight="15"/>
  <cols>
    <col width="18.42578125" customWidth="1" min="1" max="1"/>
    <col width="15.42578125" customWidth="1" style="3" min="2" max="2"/>
    <col width="11.5703125" customWidth="1" min="4" max="4"/>
    <col width="12.5703125" customWidth="1" min="5" max="5"/>
    <col width="10.42578125" bestFit="1" customWidth="1" min="7" max="7"/>
    <col width="9.85546875" bestFit="1" customWidth="1" min="8" max="8"/>
    <col width="10.42578125" bestFit="1" customWidth="1" min="10" max="10"/>
    <col width="9.85546875" bestFit="1" customWidth="1" min="11" max="11"/>
    <col width="9.85546875" bestFit="1" customWidth="1" min="17" max="17"/>
    <col width="9.85546875" bestFit="1" customWidth="1" min="20" max="20"/>
  </cols>
  <sheetData>
    <row r="1" customFormat="1" s="2">
      <c r="A1" s="9" t="n"/>
      <c r="D1" s="9" t="n"/>
      <c r="G1" s="9" t="n"/>
      <c r="P1" s="2" t="inlineStr">
        <is>
          <t>Jun</t>
        </is>
      </c>
      <c r="S1" s="2" t="inlineStr">
        <is>
          <t>Jul</t>
        </is>
      </c>
    </row>
    <row r="2">
      <c r="A2" s="1" t="n"/>
      <c r="D2" s="1" t="n"/>
      <c r="E2" s="3" t="n"/>
      <c r="G2" s="1" t="n"/>
      <c r="H2" s="3" t="n"/>
      <c r="J2" s="1" t="n"/>
      <c r="K2" s="3" t="n"/>
      <c r="P2" t="n">
        <v>2</v>
      </c>
      <c r="Q2" s="3" t="n"/>
      <c r="S2" t="n">
        <v>1</v>
      </c>
      <c r="T2" s="3" t="n">
        <v>-1590</v>
      </c>
    </row>
    <row r="3">
      <c r="A3" s="1" t="n"/>
      <c r="D3" s="1" t="n"/>
      <c r="E3" s="3" t="n"/>
      <c r="G3" s="1" t="n"/>
      <c r="H3" s="3" t="n"/>
      <c r="J3" s="1" t="n"/>
      <c r="K3" s="3" t="n"/>
      <c r="P3" t="n">
        <v>3</v>
      </c>
      <c r="Q3" s="3" t="n"/>
      <c r="S3" t="n">
        <v>2</v>
      </c>
      <c r="T3" s="3" t="n">
        <v>300</v>
      </c>
    </row>
    <row r="4">
      <c r="A4" s="1" t="n"/>
      <c r="D4" s="1" t="n"/>
      <c r="E4" s="3" t="n"/>
      <c r="G4" s="1" t="n"/>
      <c r="H4" s="3" t="n"/>
      <c r="J4" s="1" t="n"/>
      <c r="K4" s="3" t="n"/>
      <c r="P4" t="n">
        <v>4</v>
      </c>
      <c r="Q4" s="3" t="n"/>
      <c r="S4" t="n">
        <v>3</v>
      </c>
      <c r="T4" s="3" t="n"/>
    </row>
    <row r="5">
      <c r="A5" s="1" t="n"/>
      <c r="D5" s="1" t="n"/>
      <c r="E5" s="3" t="n"/>
      <c r="G5" s="1" t="n"/>
      <c r="H5" s="3" t="n"/>
      <c r="J5" s="1" t="n"/>
      <c r="K5" s="3" t="n"/>
      <c r="P5" t="n">
        <v>5</v>
      </c>
      <c r="Q5" s="3" t="n"/>
      <c r="S5" t="n">
        <v>4</v>
      </c>
      <c r="T5" s="3" t="n"/>
    </row>
    <row r="6">
      <c r="A6" s="1" t="n"/>
      <c r="D6" s="1" t="n"/>
      <c r="E6" s="3" t="n"/>
      <c r="G6" s="1" t="n"/>
      <c r="H6" s="3" t="n"/>
      <c r="J6" s="1" t="n"/>
      <c r="K6" s="3" t="n"/>
      <c r="P6" t="n">
        <v>6</v>
      </c>
      <c r="Q6" s="3" t="n"/>
      <c r="S6" t="n">
        <v>5</v>
      </c>
      <c r="T6" s="3" t="n"/>
    </row>
    <row r="7">
      <c r="A7" s="1" t="n"/>
      <c r="D7" s="1" t="n"/>
      <c r="E7" s="3" t="n"/>
      <c r="G7" s="1" t="n"/>
      <c r="H7" s="3" t="n"/>
      <c r="J7" s="1" t="n"/>
      <c r="K7" s="3" t="n"/>
      <c r="P7" t="n">
        <v>7</v>
      </c>
      <c r="Q7" s="3" t="n"/>
      <c r="S7" t="n">
        <v>6</v>
      </c>
      <c r="T7" s="3" t="n"/>
    </row>
    <row r="8">
      <c r="A8" s="1" t="n"/>
      <c r="D8" s="1" t="n"/>
      <c r="E8" s="3" t="n"/>
      <c r="G8" s="1" t="n"/>
      <c r="H8" s="3" t="n"/>
      <c r="J8" s="1" t="n"/>
      <c r="K8" s="3" t="n"/>
      <c r="P8" t="n">
        <v>8</v>
      </c>
      <c r="Q8" s="3" t="n"/>
      <c r="S8" t="n">
        <v>7</v>
      </c>
      <c r="T8" s="3" t="n"/>
    </row>
    <row r="9">
      <c r="A9" s="1" t="n"/>
      <c r="D9" s="1" t="n"/>
      <c r="E9" s="3" t="n"/>
      <c r="G9" s="1" t="n"/>
      <c r="H9" s="3" t="n"/>
      <c r="J9" s="1" t="n"/>
      <c r="K9" s="3" t="n"/>
      <c r="P9" t="n">
        <v>9</v>
      </c>
      <c r="Q9" s="3" t="n"/>
      <c r="S9" t="n">
        <v>8</v>
      </c>
      <c r="T9" s="3" t="n"/>
    </row>
    <row r="10">
      <c r="A10" s="1" t="n"/>
      <c r="D10" s="1" t="n"/>
      <c r="E10" s="3" t="n"/>
      <c r="G10" s="1" t="n"/>
      <c r="H10" s="3" t="n"/>
      <c r="J10" s="1" t="n"/>
      <c r="K10" s="3" t="n"/>
      <c r="P10" t="n">
        <v>10</v>
      </c>
      <c r="Q10" s="3" t="n"/>
      <c r="S10" t="n">
        <v>9</v>
      </c>
      <c r="T10" s="3" t="n"/>
    </row>
    <row r="11">
      <c r="A11" s="1" t="n"/>
      <c r="D11" s="1" t="n"/>
      <c r="E11" s="3" t="n"/>
      <c r="G11" s="1" t="n"/>
      <c r="H11" s="3" t="n"/>
      <c r="J11" s="1" t="n"/>
      <c r="K11" s="3" t="n"/>
      <c r="P11" t="n">
        <v>11</v>
      </c>
      <c r="Q11" s="3" t="n"/>
      <c r="S11" t="n">
        <v>10</v>
      </c>
      <c r="T11" s="3" t="n"/>
    </row>
    <row r="12">
      <c r="A12" s="1" t="n"/>
      <c r="D12" s="1" t="n"/>
      <c r="E12" s="3" t="n"/>
      <c r="G12" s="1" t="n"/>
      <c r="H12" s="3" t="n"/>
      <c r="J12" s="1" t="n"/>
      <c r="K12" s="3" t="n"/>
      <c r="P12" t="n">
        <v>12</v>
      </c>
      <c r="Q12" s="3" t="n"/>
      <c r="S12" t="n">
        <v>11</v>
      </c>
      <c r="T12" s="3" t="n">
        <v>-45</v>
      </c>
    </row>
    <row r="13">
      <c r="A13" s="1" t="n"/>
      <c r="D13" s="1" t="n"/>
      <c r="E13" s="3" t="n"/>
      <c r="G13" s="1" t="n"/>
      <c r="H13" s="3" t="n"/>
      <c r="J13" s="1" t="n"/>
      <c r="K13" s="3" t="n"/>
      <c r="P13" t="n">
        <v>13</v>
      </c>
      <c r="Q13" s="3" t="n"/>
      <c r="S13" t="n">
        <v>12</v>
      </c>
      <c r="T13" s="3" t="n"/>
    </row>
    <row r="14">
      <c r="A14" s="1" t="n"/>
      <c r="D14" s="1" t="n"/>
      <c r="E14" s="3" t="n"/>
      <c r="G14" s="1" t="n"/>
      <c r="H14" s="3" t="n"/>
      <c r="J14" s="1" t="n"/>
      <c r="K14" s="3" t="n"/>
      <c r="P14" t="n">
        <v>14</v>
      </c>
      <c r="Q14" s="3" t="n"/>
      <c r="S14" t="n">
        <v>13</v>
      </c>
      <c r="T14" s="3" t="n"/>
    </row>
    <row r="15">
      <c r="A15" s="1" t="n"/>
      <c r="D15" s="1" t="n"/>
      <c r="E15" s="3" t="n"/>
      <c r="G15" s="1" t="n"/>
      <c r="H15" s="3" t="n"/>
      <c r="J15" s="1" t="n"/>
      <c r="K15" s="3" t="n"/>
      <c r="P15" t="n">
        <v>15</v>
      </c>
      <c r="Q15" s="3" t="n"/>
      <c r="S15" t="n">
        <v>14</v>
      </c>
      <c r="T15" s="3" t="n"/>
    </row>
    <row r="16">
      <c r="A16" s="1" t="n"/>
      <c r="D16" s="1" t="n"/>
      <c r="E16" s="3" t="n"/>
      <c r="G16" s="1" t="n"/>
      <c r="H16" s="3" t="n"/>
      <c r="J16" s="1" t="n"/>
      <c r="K16" s="3" t="n"/>
      <c r="P16" t="n">
        <v>16</v>
      </c>
      <c r="Q16" s="3" t="n"/>
      <c r="S16" t="n">
        <v>15</v>
      </c>
      <c r="T16" s="3" t="n"/>
    </row>
    <row r="17">
      <c r="A17" s="1" t="n"/>
      <c r="D17" s="1" t="n"/>
      <c r="E17" s="3" t="n"/>
      <c r="G17" s="1" t="n"/>
      <c r="H17" s="3" t="n"/>
      <c r="J17" s="1" t="n"/>
      <c r="K17" s="3" t="n"/>
      <c r="P17" t="n">
        <v>17</v>
      </c>
      <c r="Q17" s="3" t="n"/>
      <c r="S17" t="n">
        <v>16</v>
      </c>
      <c r="T17" s="3" t="n"/>
    </row>
    <row r="18">
      <c r="A18" s="1" t="n"/>
      <c r="D18" s="1" t="n"/>
      <c r="E18" s="3" t="n"/>
      <c r="G18" s="1" t="n"/>
      <c r="H18" s="3" t="n"/>
      <c r="J18" s="1" t="n"/>
      <c r="K18" s="3" t="n"/>
      <c r="P18" t="n">
        <v>18</v>
      </c>
      <c r="Q18" s="3" t="n"/>
      <c r="S18" t="n">
        <v>17</v>
      </c>
      <c r="T18" s="3" t="n"/>
    </row>
    <row r="19">
      <c r="A19" s="1" t="n"/>
      <c r="D19" s="1" t="n"/>
      <c r="E19" s="3" t="n"/>
      <c r="G19" s="1" t="n"/>
      <c r="H19" s="3" t="n"/>
      <c r="J19" s="1" t="n"/>
      <c r="K19" s="3" t="n"/>
      <c r="P19" t="n">
        <v>19</v>
      </c>
      <c r="Q19" s="3" t="n"/>
      <c r="S19" t="n">
        <v>18</v>
      </c>
      <c r="T19" s="3" t="n"/>
    </row>
    <row r="20">
      <c r="A20" s="1" t="n"/>
      <c r="D20" s="1" t="n"/>
      <c r="E20" s="3" t="n"/>
      <c r="G20" s="1" t="n"/>
      <c r="H20" s="3" t="n"/>
      <c r="J20" s="1" t="n"/>
      <c r="K20" s="3" t="n"/>
      <c r="P20" t="n">
        <v>20</v>
      </c>
      <c r="Q20" s="3" t="n"/>
      <c r="S20" t="n">
        <v>19</v>
      </c>
      <c r="T20" s="3" t="n"/>
    </row>
    <row r="21">
      <c r="A21" s="1" t="n"/>
      <c r="D21" s="1" t="n"/>
      <c r="E21" s="3" t="n"/>
      <c r="G21" s="1" t="n"/>
      <c r="H21" s="3" t="n"/>
      <c r="J21" s="1" t="n"/>
      <c r="K21" s="3" t="n"/>
      <c r="P21" t="n">
        <v>21</v>
      </c>
      <c r="Q21" s="3" t="n"/>
      <c r="S21" t="n">
        <v>20</v>
      </c>
      <c r="T21" s="3" t="n"/>
    </row>
    <row r="22">
      <c r="A22" s="1" t="n"/>
      <c r="D22" s="1" t="n"/>
      <c r="E22" s="3" t="n"/>
      <c r="G22" s="1" t="n"/>
      <c r="H22" s="3" t="n"/>
      <c r="J22" s="1" t="n"/>
      <c r="K22" s="3" t="n"/>
      <c r="P22" t="n">
        <v>22</v>
      </c>
      <c r="Q22" s="3" t="n"/>
      <c r="S22" t="n">
        <v>21</v>
      </c>
      <c r="T22" s="3" t="n"/>
    </row>
    <row r="23">
      <c r="A23" s="1" t="n"/>
      <c r="D23" s="1" t="n"/>
      <c r="E23" s="3" t="n"/>
      <c r="G23" s="1" t="n"/>
      <c r="H23" s="3" t="n"/>
      <c r="J23" s="1" t="n"/>
      <c r="K23" s="3" t="n"/>
      <c r="P23" t="n">
        <v>23</v>
      </c>
      <c r="Q23" s="3" t="n"/>
      <c r="S23" t="n">
        <v>22</v>
      </c>
      <c r="T23" s="3" t="n"/>
    </row>
    <row r="24">
      <c r="A24" s="1" t="n"/>
      <c r="D24" s="1" t="n"/>
      <c r="E24" s="3" t="n"/>
      <c r="G24" s="1" t="n"/>
      <c r="H24" s="3" t="n"/>
      <c r="J24" s="1" t="n"/>
      <c r="K24" s="3" t="n"/>
      <c r="P24" t="n">
        <v>24</v>
      </c>
      <c r="Q24" s="3" t="n"/>
      <c r="S24" t="n">
        <v>23</v>
      </c>
      <c r="T24" s="3" t="n"/>
    </row>
    <row r="25">
      <c r="A25" s="1" t="n"/>
      <c r="D25" s="1" t="n"/>
      <c r="E25" s="3" t="n"/>
      <c r="G25" s="1" t="n"/>
      <c r="H25" s="3" t="n"/>
      <c r="J25" s="1" t="n"/>
      <c r="K25" s="3" t="n"/>
      <c r="P25" t="n">
        <v>25</v>
      </c>
      <c r="Q25" s="3" t="n">
        <v>645</v>
      </c>
      <c r="S25" t="n">
        <v>24</v>
      </c>
      <c r="T25" s="3" t="n"/>
    </row>
    <row r="26">
      <c r="A26" s="1" t="n"/>
      <c r="D26" s="1" t="n"/>
      <c r="E26" s="3" t="n"/>
      <c r="G26" s="1" t="n"/>
      <c r="H26" s="3" t="n"/>
      <c r="J26" s="1" t="n"/>
      <c r="K26" s="3" t="n"/>
      <c r="P26" t="n">
        <v>26</v>
      </c>
      <c r="Q26" s="3" t="n">
        <v>-1090</v>
      </c>
      <c r="S26" t="n">
        <v>25</v>
      </c>
      <c r="T26" s="3" t="n"/>
    </row>
    <row r="27">
      <c r="A27" s="1" t="n"/>
      <c r="D27" s="1" t="n"/>
      <c r="E27" s="3" t="n"/>
      <c r="G27" s="1" t="n"/>
      <c r="H27" s="3" t="n"/>
      <c r="J27" s="1" t="n"/>
      <c r="K27" s="3" t="n"/>
      <c r="P27" t="n">
        <v>27</v>
      </c>
      <c r="Q27" s="3" t="n">
        <v>-1450</v>
      </c>
      <c r="S27" t="n">
        <v>26</v>
      </c>
      <c r="T27" s="3" t="n"/>
    </row>
    <row r="28">
      <c r="A28" s="1" t="n"/>
      <c r="D28" s="1" t="n"/>
      <c r="E28" s="3" t="n"/>
      <c r="G28" s="1" t="n"/>
      <c r="H28" s="3" t="n"/>
      <c r="J28" s="1" t="n"/>
      <c r="K28" s="3" t="n"/>
      <c r="P28" t="n">
        <v>28</v>
      </c>
      <c r="Q28" s="3" t="n"/>
      <c r="S28" t="n">
        <v>27</v>
      </c>
      <c r="T28" s="3" t="n"/>
    </row>
    <row r="29">
      <c r="A29" s="1" t="n"/>
      <c r="D29" s="1" t="n"/>
      <c r="E29" s="3" t="n"/>
      <c r="G29" s="1" t="n"/>
      <c r="H29" s="3" t="n"/>
      <c r="J29" s="1" t="n"/>
      <c r="K29" s="3" t="n"/>
      <c r="P29" t="n">
        <v>29</v>
      </c>
      <c r="Q29" s="3" t="n"/>
      <c r="S29" t="n">
        <v>28</v>
      </c>
      <c r="T29" s="3" t="n"/>
    </row>
    <row r="30">
      <c r="A30" s="1" t="n"/>
      <c r="D30" s="1" t="n"/>
      <c r="E30" s="3" t="n"/>
      <c r="G30" s="1" t="n"/>
      <c r="H30" s="3" t="n"/>
      <c r="J30" s="1" t="n"/>
      <c r="K30" s="3" t="n"/>
      <c r="P30" t="n">
        <v>30</v>
      </c>
      <c r="Q30" s="3" t="n"/>
      <c r="S30" t="n">
        <v>29</v>
      </c>
      <c r="T30" s="3" t="n"/>
    </row>
    <row r="31">
      <c r="A31" s="1" t="n"/>
      <c r="D31" s="1" t="n"/>
      <c r="E31" s="3" t="n"/>
      <c r="G31" s="1" t="n"/>
      <c r="H31" s="3" t="n"/>
      <c r="J31" s="1" t="n"/>
      <c r="K31" s="3" t="n"/>
      <c r="S31" t="n">
        <v>30</v>
      </c>
    </row>
    <row r="32">
      <c r="A32" s="1" t="n"/>
      <c r="D32" s="1" t="n"/>
      <c r="E32" s="3" t="n"/>
      <c r="J32" s="1" t="n"/>
      <c r="K32" s="3" t="n"/>
      <c r="S32" t="n">
        <v>31</v>
      </c>
    </row>
    <row r="33">
      <c r="E33" s="3" t="n"/>
    </row>
    <row r="34">
      <c r="E34" s="3" t="n"/>
    </row>
    <row r="35">
      <c r="E35" s="3" t="n"/>
      <c r="H35" s="3" t="n"/>
      <c r="K35" s="3" t="n"/>
      <c r="Q35" s="3">
        <f>SUM(Q2:Q34)</f>
        <v/>
      </c>
      <c r="T35" s="3">
        <f>SUM(T2:T34)</f>
        <v/>
      </c>
    </row>
  </sheetData>
  <mergeCells count="3">
    <mergeCell ref="D1:E1"/>
    <mergeCell ref="G1:H1"/>
    <mergeCell ref="A1:B1"/>
  </mergeCells>
  <conditionalFormatting sqref="B2:B32">
    <cfRule type="cellIs" priority="21" operator="lessThan" dxfId="1">
      <formula>0</formula>
    </cfRule>
    <cfRule type="cellIs" priority="22" operator="greaterThan" dxfId="0">
      <formula>0</formula>
    </cfRule>
  </conditionalFormatting>
  <conditionalFormatting sqref="B35">
    <cfRule type="cellIs" priority="19" operator="lessThan" dxfId="1">
      <formula>0</formula>
    </cfRule>
    <cfRule type="cellIs" priority="20" operator="greaterThan" dxfId="0">
      <formula>0</formula>
    </cfRule>
  </conditionalFormatting>
  <conditionalFormatting sqref="E2:E35">
    <cfRule type="cellIs" priority="17" operator="lessThan" dxfId="1">
      <formula>0</formula>
    </cfRule>
    <cfRule type="cellIs" priority="18" operator="greaterThan" dxfId="0">
      <formula>0</formula>
    </cfRule>
  </conditionalFormatting>
  <conditionalFormatting sqref="H2:H31">
    <cfRule type="cellIs" priority="15" operator="lessThan" dxfId="1">
      <formula>0</formula>
    </cfRule>
    <cfRule type="cellIs" priority="16" operator="greaterThan" dxfId="0">
      <formula>0</formula>
    </cfRule>
  </conditionalFormatting>
  <conditionalFormatting sqref="H35">
    <cfRule type="cellIs" priority="13" operator="lessThan" dxfId="1">
      <formula>0</formula>
    </cfRule>
    <cfRule type="cellIs" priority="14" operator="greaterThan" dxfId="0">
      <formula>0</formula>
    </cfRule>
  </conditionalFormatting>
  <conditionalFormatting sqref="K2:K32">
    <cfRule type="cellIs" priority="11" operator="lessThan" dxfId="1">
      <formula>0</formula>
    </cfRule>
    <cfRule type="cellIs" priority="12" operator="greaterThan" dxfId="0">
      <formula>0</formula>
    </cfRule>
  </conditionalFormatting>
  <conditionalFormatting sqref="K35">
    <cfRule type="cellIs" priority="9" operator="lessThan" dxfId="1">
      <formula>0</formula>
    </cfRule>
    <cfRule type="cellIs" priority="10" operator="greaterThan" dxfId="0">
      <formula>0</formula>
    </cfRule>
  </conditionalFormatting>
  <conditionalFormatting sqref="Q2:Q30">
    <cfRule type="cellIs" priority="7" operator="lessThan" dxfId="1">
      <formula>0</formula>
    </cfRule>
    <cfRule type="cellIs" priority="8" operator="greaterThan" dxfId="0">
      <formula>0</formula>
    </cfRule>
  </conditionalFormatting>
  <conditionalFormatting sqref="Q35">
    <cfRule type="cellIs" priority="5" operator="lessThan" dxfId="1">
      <formula>0</formula>
    </cfRule>
    <cfRule type="cellIs" priority="6" operator="greaterThan" dxfId="0">
      <formula>0</formula>
    </cfRule>
  </conditionalFormatting>
  <conditionalFormatting sqref="T2:T30">
    <cfRule type="cellIs" priority="3" operator="lessThan" dxfId="1">
      <formula>0</formula>
    </cfRule>
    <cfRule type="cellIs" priority="4" operator="greaterThan" dxfId="0">
      <formula>0</formula>
    </cfRule>
  </conditionalFormatting>
  <conditionalFormatting sqref="T35">
    <cfRule type="cellIs" priority="1" operator="lessThan" dxfId="1">
      <formula>0</formula>
    </cfRule>
    <cfRule type="cellIs" priority="2" operator="greaterThan" dxfId="0">
      <formula>0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45"/>
  <sheetViews>
    <sheetView topLeftCell="A13" workbookViewId="0">
      <selection activeCell="A19" sqref="A19"/>
    </sheetView>
  </sheetViews>
  <sheetFormatPr baseColWidth="8" defaultRowHeight="15"/>
  <cols>
    <col width="18.42578125" customWidth="1" min="1" max="1"/>
    <col width="15.42578125" customWidth="1" style="3" min="2" max="2"/>
  </cols>
  <sheetData>
    <row r="1" customFormat="1" s="2">
      <c r="A1" s="9" t="inlineStr">
        <is>
          <t>January</t>
        </is>
      </c>
    </row>
    <row r="2">
      <c r="A2" s="1" t="n">
        <v>45658</v>
      </c>
    </row>
    <row r="3">
      <c r="A3" s="1" t="n">
        <v>45659</v>
      </c>
    </row>
    <row r="4">
      <c r="A4" s="1" t="n">
        <v>45660</v>
      </c>
    </row>
    <row r="5">
      <c r="A5" s="1" t="n">
        <v>45661</v>
      </c>
    </row>
    <row r="6">
      <c r="A6" s="1" t="n">
        <v>45662</v>
      </c>
    </row>
    <row r="7">
      <c r="A7" s="1" t="n">
        <v>45663</v>
      </c>
    </row>
    <row r="8">
      <c r="A8" s="1" t="n">
        <v>45664</v>
      </c>
    </row>
    <row r="9">
      <c r="A9" s="1" t="n">
        <v>45665</v>
      </c>
    </row>
    <row r="10">
      <c r="A10" s="1" t="n">
        <v>45666</v>
      </c>
    </row>
    <row r="11">
      <c r="A11" s="1" t="n">
        <v>45667</v>
      </c>
    </row>
    <row r="12">
      <c r="A12" s="1" t="n">
        <v>45668</v>
      </c>
    </row>
    <row r="13">
      <c r="A13" s="1" t="n">
        <v>45669</v>
      </c>
    </row>
    <row r="14">
      <c r="A14" s="1" t="n">
        <v>45670</v>
      </c>
    </row>
    <row r="15">
      <c r="A15" s="1" t="n">
        <v>45671</v>
      </c>
      <c r="E15" t="n">
        <v>-20.95</v>
      </c>
      <c r="F15" t="n">
        <v>2</v>
      </c>
      <c r="G15">
        <f>F15*E15*100</f>
        <v/>
      </c>
    </row>
    <row r="16">
      <c r="A16" s="1" t="n">
        <v>45672</v>
      </c>
      <c r="B16" s="3" t="n">
        <v>-12050</v>
      </c>
      <c r="E16" t="n">
        <v>-24.1</v>
      </c>
      <c r="F16" t="n">
        <v>5</v>
      </c>
      <c r="G16">
        <f>F16*E16*100</f>
        <v/>
      </c>
    </row>
    <row r="17">
      <c r="A17" s="1" t="n">
        <v>45673</v>
      </c>
      <c r="B17" s="3" t="n">
        <v>-4190</v>
      </c>
      <c r="E17" t="n">
        <v>29.9</v>
      </c>
      <c r="F17" t="n">
        <v>1</v>
      </c>
      <c r="G17">
        <f>F17*E17*100</f>
        <v/>
      </c>
    </row>
    <row r="18">
      <c r="A18" s="1" t="n">
        <v>45674</v>
      </c>
      <c r="B18" s="3">
        <f>2990+2990+2805-4603</f>
        <v/>
      </c>
      <c r="E18" t="n">
        <v>29.9</v>
      </c>
      <c r="F18" t="n">
        <v>1</v>
      </c>
      <c r="G18">
        <f>F18*E18*100</f>
        <v/>
      </c>
    </row>
    <row r="19">
      <c r="A19" s="1" t="n">
        <v>45675</v>
      </c>
      <c r="E19" t="n">
        <v>-23.15</v>
      </c>
      <c r="F19" t="n">
        <v>2</v>
      </c>
      <c r="G19">
        <f>F19*E19*100</f>
        <v/>
      </c>
    </row>
    <row r="20">
      <c r="A20" s="1" t="n">
        <v>45676</v>
      </c>
      <c r="E20" t="n">
        <v>-28.05</v>
      </c>
      <c r="F20" t="n">
        <v>1</v>
      </c>
      <c r="G20">
        <f>F20*E20*100</f>
        <v/>
      </c>
    </row>
    <row r="21">
      <c r="A21" s="1" t="n">
        <v>45677</v>
      </c>
    </row>
    <row r="22">
      <c r="A22" s="1" t="n">
        <v>45678</v>
      </c>
    </row>
    <row r="23">
      <c r="A23" s="1" t="n">
        <v>45679</v>
      </c>
      <c r="E23" t="n">
        <v>71.2</v>
      </c>
      <c r="F23" t="n">
        <v>1</v>
      </c>
      <c r="G23">
        <f>F23*E23*100</f>
        <v/>
      </c>
    </row>
    <row r="24">
      <c r="A24" s="1" t="n">
        <v>45680</v>
      </c>
      <c r="E24" t="n">
        <v>-45.9</v>
      </c>
      <c r="F24" t="n">
        <v>1</v>
      </c>
      <c r="G24">
        <f>F24*E24*100</f>
        <v/>
      </c>
    </row>
    <row r="25">
      <c r="A25" s="1" t="n">
        <v>45681</v>
      </c>
      <c r="E25" t="n">
        <v>8.1</v>
      </c>
      <c r="F25" t="n">
        <v>1</v>
      </c>
      <c r="G25">
        <f>F25*E25*100</f>
        <v/>
      </c>
    </row>
    <row r="26">
      <c r="A26" s="1" t="n">
        <v>45682</v>
      </c>
      <c r="E26" t="n">
        <v>8.1</v>
      </c>
      <c r="F26" t="n">
        <v>1</v>
      </c>
      <c r="G26">
        <f>F26*E26*100</f>
        <v/>
      </c>
    </row>
    <row r="27">
      <c r="A27" s="1" t="n">
        <v>45683</v>
      </c>
    </row>
    <row r="28">
      <c r="A28" s="1" t="n">
        <v>45684</v>
      </c>
    </row>
    <row r="29">
      <c r="A29" s="1" t="n">
        <v>45685</v>
      </c>
    </row>
    <row r="30">
      <c r="A30" s="1" t="n">
        <v>45686</v>
      </c>
      <c r="E30" t="n">
        <v>29.95</v>
      </c>
      <c r="F30" t="n">
        <v>3</v>
      </c>
      <c r="G30">
        <f>F30*E30*100</f>
        <v/>
      </c>
    </row>
    <row r="31">
      <c r="A31" s="1" t="n">
        <v>45687</v>
      </c>
      <c r="E31" t="n">
        <v>22.9</v>
      </c>
      <c r="F31" t="n">
        <v>2</v>
      </c>
      <c r="G31">
        <f>F31*E31*100</f>
        <v/>
      </c>
    </row>
    <row r="32">
      <c r="A32" s="1" t="n">
        <v>45688</v>
      </c>
    </row>
    <row r="36">
      <c r="D36" t="inlineStr">
        <is>
          <t>1st 27</t>
        </is>
      </c>
      <c r="E36" t="n">
        <v>-24.1</v>
      </c>
      <c r="F36" t="n">
        <v>5</v>
      </c>
      <c r="G36">
        <f>F36*E36*100</f>
        <v/>
      </c>
    </row>
    <row r="37">
      <c r="E37" t="n">
        <v>29.9</v>
      </c>
      <c r="F37" t="n">
        <v>2</v>
      </c>
      <c r="G37">
        <f>F37*E37*100</f>
        <v/>
      </c>
    </row>
    <row r="38">
      <c r="E38" t="n">
        <v>30</v>
      </c>
      <c r="F38" t="n">
        <v>3</v>
      </c>
      <c r="G38">
        <f>F38*E38*100</f>
        <v/>
      </c>
    </row>
    <row r="40">
      <c r="D40" t="inlineStr">
        <is>
          <t>2nd 27</t>
        </is>
      </c>
      <c r="E40" t="n">
        <v>-23.15</v>
      </c>
      <c r="F40" t="n">
        <v>2</v>
      </c>
      <c r="G40">
        <f>F40*E40*100</f>
        <v/>
      </c>
    </row>
    <row r="41">
      <c r="E41" t="n">
        <v>23.05</v>
      </c>
      <c r="F41" t="n">
        <v>2</v>
      </c>
      <c r="G41">
        <f>F41*E41*100</f>
        <v/>
      </c>
    </row>
    <row r="43">
      <c r="D43" t="inlineStr">
        <is>
          <t>strange</t>
        </is>
      </c>
      <c r="E43" t="n">
        <v>-20.95</v>
      </c>
      <c r="F43" t="n">
        <v>2</v>
      </c>
      <c r="G43">
        <f>F43*E43*100</f>
        <v/>
      </c>
    </row>
    <row r="44">
      <c r="E44" t="n">
        <v>28.05</v>
      </c>
      <c r="F44" t="n">
        <v>1</v>
      </c>
      <c r="G44">
        <f>F44*E44*100</f>
        <v/>
      </c>
    </row>
    <row r="45">
      <c r="F45" t="n">
        <v>1</v>
      </c>
      <c r="G45" t="n">
        <v>4150</v>
      </c>
    </row>
  </sheetData>
  <mergeCells count="1">
    <mergeCell ref="A1:B1"/>
  </mergeCells>
  <conditionalFormatting sqref="B2:B32">
    <cfRule type="cellIs" priority="1" operator="lessThan" dxfId="1">
      <formula>0</formula>
    </cfRule>
    <cfRule type="cellIs" priority="2" operator="greaterThan" dxfId="0">
      <formula>0</formula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H2" sqref="H2:H27"/>
    </sheetView>
  </sheetViews>
  <sheetFormatPr baseColWidth="8" defaultRowHeight="15"/>
  <cols>
    <col width="18.42578125" customWidth="1" min="1" max="1"/>
    <col width="15.42578125" customWidth="1" style="3" min="2" max="2"/>
    <col width="11.5703125" customWidth="1" min="4" max="4"/>
    <col width="12.5703125" customWidth="1" min="5" max="5"/>
    <col width="11.5703125" customWidth="1" min="7" max="7"/>
    <col width="12.5703125" customWidth="1" min="8" max="8"/>
  </cols>
  <sheetData>
    <row r="1" customFormat="1" s="2">
      <c r="A1" s="9" t="inlineStr">
        <is>
          <t>January</t>
        </is>
      </c>
      <c r="D1" s="9" t="inlineStr">
        <is>
          <t>February</t>
        </is>
      </c>
      <c r="G1" s="9" t="inlineStr">
        <is>
          <t>March</t>
        </is>
      </c>
    </row>
    <row r="2">
      <c r="A2" s="1" t="n">
        <v>45658</v>
      </c>
      <c r="D2" s="1" t="n">
        <v>45691</v>
      </c>
      <c r="E2" s="3" t="n">
        <v>-1690</v>
      </c>
      <c r="G2" s="1" t="n">
        <v>45691</v>
      </c>
      <c r="H2" s="3" t="n"/>
    </row>
    <row r="3">
      <c r="A3" s="1" t="n">
        <v>45659</v>
      </c>
      <c r="D3" s="1" t="n">
        <v>45692</v>
      </c>
      <c r="E3" s="3" t="n"/>
      <c r="G3" s="1" t="n">
        <v>45692</v>
      </c>
      <c r="H3" s="3" t="n"/>
    </row>
    <row r="4">
      <c r="A4" s="1" t="n">
        <v>45660</v>
      </c>
      <c r="D4" s="1" t="n">
        <v>45693</v>
      </c>
      <c r="E4" s="3" t="n"/>
      <c r="G4" s="1" t="n">
        <v>45693</v>
      </c>
      <c r="H4" s="3" t="n"/>
    </row>
    <row r="5">
      <c r="A5" s="1" t="n">
        <v>45661</v>
      </c>
      <c r="D5" s="1" t="n">
        <v>45694</v>
      </c>
      <c r="E5" s="3" t="n"/>
      <c r="G5" s="1" t="n">
        <v>45694</v>
      </c>
      <c r="H5" s="3" t="n"/>
    </row>
    <row r="6">
      <c r="A6" s="1" t="n">
        <v>45662</v>
      </c>
      <c r="D6" s="1" t="n">
        <v>45695</v>
      </c>
      <c r="E6" s="3" t="n"/>
      <c r="G6" s="1" t="n">
        <v>45695</v>
      </c>
      <c r="H6" s="3" t="n"/>
    </row>
    <row r="7">
      <c r="A7" s="1" t="n">
        <v>45663</v>
      </c>
      <c r="D7" s="1" t="n">
        <v>45696</v>
      </c>
      <c r="E7" s="3" t="n"/>
      <c r="G7" s="1" t="n">
        <v>45696</v>
      </c>
      <c r="H7" s="3" t="n"/>
    </row>
    <row r="8">
      <c r="A8" s="1" t="n">
        <v>45664</v>
      </c>
      <c r="D8" s="1" t="n">
        <v>45697</v>
      </c>
      <c r="E8" s="3" t="n"/>
      <c r="G8" s="1" t="n">
        <v>45697</v>
      </c>
      <c r="H8" s="3" t="n"/>
    </row>
    <row r="9">
      <c r="A9" s="1" t="n">
        <v>45665</v>
      </c>
      <c r="D9" s="1" t="n">
        <v>45698</v>
      </c>
      <c r="E9" s="3" t="n"/>
      <c r="G9" s="1" t="n">
        <v>45698</v>
      </c>
      <c r="H9" s="3" t="n"/>
    </row>
    <row r="10">
      <c r="A10" s="1" t="n">
        <v>45666</v>
      </c>
      <c r="D10" s="1" t="n">
        <v>45699</v>
      </c>
      <c r="E10" s="3" t="n"/>
      <c r="G10" s="1" t="n">
        <v>45699</v>
      </c>
      <c r="H10" s="3" t="n"/>
    </row>
    <row r="11">
      <c r="A11" s="1" t="n">
        <v>45667</v>
      </c>
      <c r="D11" s="1" t="n">
        <v>45700</v>
      </c>
      <c r="E11" s="3" t="n"/>
      <c r="G11" s="1" t="n">
        <v>45700</v>
      </c>
      <c r="H11" s="3" t="n"/>
    </row>
    <row r="12">
      <c r="A12" s="1" t="n">
        <v>45668</v>
      </c>
      <c r="D12" s="1" t="n">
        <v>45701</v>
      </c>
      <c r="E12" s="3" t="n"/>
      <c r="G12" s="1" t="n">
        <v>45701</v>
      </c>
      <c r="H12" s="3" t="n"/>
    </row>
    <row r="13">
      <c r="A13" s="1" t="n">
        <v>45669</v>
      </c>
      <c r="D13" s="1" t="n">
        <v>45702</v>
      </c>
      <c r="E13" s="3" t="n"/>
      <c r="G13" s="1" t="n">
        <v>45702</v>
      </c>
      <c r="H13" s="3" t="n"/>
    </row>
    <row r="14">
      <c r="A14" s="1" t="n">
        <v>45670</v>
      </c>
      <c r="D14" s="1" t="n">
        <v>45703</v>
      </c>
      <c r="E14" s="3" t="n"/>
      <c r="G14" s="1" t="n">
        <v>45703</v>
      </c>
      <c r="H14" s="3" t="n"/>
    </row>
    <row r="15">
      <c r="A15" s="1" t="n">
        <v>45671</v>
      </c>
      <c r="D15" s="1" t="n">
        <v>45704</v>
      </c>
      <c r="E15" s="3" t="n"/>
      <c r="G15" s="1" t="n">
        <v>45704</v>
      </c>
      <c r="H15" s="3" t="n"/>
    </row>
    <row r="16">
      <c r="A16" s="1" t="n">
        <v>45672</v>
      </c>
      <c r="D16" s="1" t="n">
        <v>45705</v>
      </c>
      <c r="E16" s="3" t="n"/>
      <c r="G16" s="1" t="n">
        <v>45705</v>
      </c>
      <c r="H16" s="3" t="n"/>
    </row>
    <row r="17">
      <c r="A17" s="1" t="n">
        <v>45673</v>
      </c>
      <c r="D17" s="1" t="n">
        <v>45706</v>
      </c>
      <c r="E17" s="3" t="n"/>
      <c r="G17" s="1" t="n">
        <v>45706</v>
      </c>
      <c r="H17" s="3" t="n"/>
    </row>
    <row r="18">
      <c r="A18" s="1" t="n">
        <v>45674</v>
      </c>
      <c r="D18" s="1" t="n">
        <v>45707</v>
      </c>
      <c r="E18" s="3" t="n"/>
      <c r="G18" s="1" t="n">
        <v>45707</v>
      </c>
      <c r="H18" s="3" t="n"/>
    </row>
    <row r="19">
      <c r="A19" s="1" t="n">
        <v>45675</v>
      </c>
      <c r="D19" s="1" t="n">
        <v>45708</v>
      </c>
      <c r="E19" s="3" t="n">
        <v>-2520</v>
      </c>
      <c r="G19" s="1" t="n">
        <v>45708</v>
      </c>
      <c r="H19" s="3" t="n"/>
    </row>
    <row r="20">
      <c r="A20" s="1" t="n">
        <v>45676</v>
      </c>
      <c r="D20" s="1" t="n">
        <v>45709</v>
      </c>
      <c r="E20" s="3" t="n"/>
      <c r="G20" s="1" t="n">
        <v>45709</v>
      </c>
      <c r="H20" s="3" t="n"/>
    </row>
    <row r="21">
      <c r="A21" s="1" t="n">
        <v>45677</v>
      </c>
      <c r="D21" s="1" t="n">
        <v>45710</v>
      </c>
      <c r="E21" s="3" t="n"/>
      <c r="G21" s="1" t="n">
        <v>45710</v>
      </c>
      <c r="H21" s="3" t="n"/>
    </row>
    <row r="22">
      <c r="A22" s="1" t="n">
        <v>45678</v>
      </c>
      <c r="D22" s="1" t="n">
        <v>45711</v>
      </c>
      <c r="E22" s="3" t="n"/>
      <c r="G22" s="1" t="n">
        <v>45711</v>
      </c>
      <c r="H22" s="3" t="n"/>
    </row>
    <row r="23">
      <c r="A23" s="1" t="n">
        <v>45679</v>
      </c>
      <c r="D23" s="1" t="n">
        <v>45712</v>
      </c>
      <c r="E23" s="3" t="n">
        <v>1195</v>
      </c>
      <c r="G23" s="1" t="n">
        <v>45712</v>
      </c>
      <c r="H23" s="3" t="n"/>
    </row>
    <row r="24">
      <c r="A24" s="1" t="n">
        <v>45680</v>
      </c>
      <c r="D24" s="1" t="n">
        <v>45713</v>
      </c>
      <c r="E24" s="3" t="n">
        <v>180</v>
      </c>
      <c r="G24" s="1" t="n">
        <v>45713</v>
      </c>
      <c r="H24" s="3" t="n"/>
    </row>
    <row r="25">
      <c r="A25" s="1" t="n">
        <v>45681</v>
      </c>
      <c r="D25" s="1" t="n">
        <v>45714</v>
      </c>
      <c r="E25" s="3" t="n"/>
      <c r="G25" s="1" t="n">
        <v>45714</v>
      </c>
      <c r="H25" s="3" t="n"/>
    </row>
    <row r="26">
      <c r="A26" s="1" t="n">
        <v>45682</v>
      </c>
      <c r="D26" s="1" t="n">
        <v>45715</v>
      </c>
      <c r="E26" s="3" t="n"/>
      <c r="G26" s="1" t="n">
        <v>45715</v>
      </c>
      <c r="H26" s="3" t="n"/>
    </row>
    <row r="27">
      <c r="A27" s="1" t="n">
        <v>45683</v>
      </c>
      <c r="D27" s="1" t="n">
        <v>45716</v>
      </c>
      <c r="E27" s="3" t="n"/>
      <c r="G27" s="1" t="n">
        <v>45716</v>
      </c>
      <c r="H27" s="3" t="n"/>
    </row>
    <row r="28">
      <c r="A28" s="1" t="n">
        <v>45684</v>
      </c>
      <c r="B28" s="3" t="n">
        <v>790</v>
      </c>
      <c r="D28" s="1" t="n"/>
      <c r="E28" s="3" t="n"/>
      <c r="G28" s="1" t="n"/>
      <c r="H28" s="3" t="n"/>
    </row>
    <row r="29">
      <c r="A29" s="1" t="n">
        <v>45685</v>
      </c>
      <c r="D29" s="1" t="n"/>
      <c r="E29" s="3" t="n"/>
      <c r="G29" s="1" t="n"/>
      <c r="H29" s="3" t="n"/>
    </row>
    <row r="30">
      <c r="A30" s="1" t="n">
        <v>45686</v>
      </c>
      <c r="D30" s="1" t="n"/>
      <c r="E30" s="3" t="n"/>
      <c r="G30" s="1" t="n"/>
      <c r="H30" s="3" t="n"/>
    </row>
    <row r="31">
      <c r="A31" s="1" t="n">
        <v>45687</v>
      </c>
      <c r="D31" s="1" t="n"/>
      <c r="E31" s="3" t="n"/>
      <c r="G31" s="1" t="n"/>
      <c r="H31" s="3" t="n"/>
    </row>
    <row r="32">
      <c r="A32" s="1" t="n">
        <v>45688</v>
      </c>
      <c r="D32" s="1" t="n"/>
      <c r="E32" s="3" t="n"/>
      <c r="G32" s="1" t="n"/>
      <c r="H32" s="3" t="n"/>
    </row>
    <row r="33">
      <c r="E33" s="3" t="n"/>
      <c r="H33" s="3" t="n"/>
    </row>
    <row r="34">
      <c r="E34" s="3" t="n"/>
      <c r="H34" s="3" t="n"/>
    </row>
    <row r="35">
      <c r="A35" t="inlineStr">
        <is>
          <t>Total</t>
        </is>
      </c>
      <c r="B35" s="3">
        <f>SUM(B2:B34)</f>
        <v/>
      </c>
      <c r="E35" s="3" t="n"/>
      <c r="H35" s="3" t="n"/>
    </row>
  </sheetData>
  <mergeCells count="3">
    <mergeCell ref="D1:E1"/>
    <mergeCell ref="G1:H1"/>
    <mergeCell ref="A1:B1"/>
  </mergeCells>
  <conditionalFormatting sqref="B2:B16 B18:B32">
    <cfRule type="cellIs" priority="7" operator="lessThan" dxfId="1">
      <formula>0</formula>
    </cfRule>
    <cfRule type="cellIs" priority="8" operator="greaterThan" dxfId="0">
      <formula>0</formula>
    </cfRule>
  </conditionalFormatting>
  <conditionalFormatting sqref="B35">
    <cfRule type="cellIs" priority="5" operator="lessThan" dxfId="1">
      <formula>0</formula>
    </cfRule>
    <cfRule type="cellIs" priority="6" operator="greaterThan" dxfId="0">
      <formula>0</formula>
    </cfRule>
  </conditionalFormatting>
  <conditionalFormatting sqref="E2:E35">
    <cfRule type="cellIs" priority="3" operator="lessThan" dxfId="1">
      <formula>0</formula>
    </cfRule>
    <cfRule type="cellIs" priority="4" operator="greaterThan" dxfId="0">
      <formula>0</formula>
    </cfRule>
  </conditionalFormatting>
  <conditionalFormatting sqref="H2:H35">
    <cfRule type="cellIs" priority="1" operator="lessThan" dxfId="1">
      <formula>0</formula>
    </cfRule>
    <cfRule type="cellIs" priority="2" operator="greaterThan" dxfId="0">
      <formula>0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4">
    <outlinePr summaryBelow="1" summaryRight="1"/>
    <pageSetUpPr/>
  </sheetPr>
  <dimension ref="A1:K35"/>
  <sheetViews>
    <sheetView workbookViewId="0">
      <selection activeCell="I35" sqref="I35"/>
    </sheetView>
  </sheetViews>
  <sheetFormatPr baseColWidth="8" defaultRowHeight="15"/>
  <cols>
    <col width="18.42578125" customWidth="1" min="1" max="1"/>
    <col width="15.42578125" customWidth="1" style="3" min="2" max="2"/>
    <col width="11.5703125" customWidth="1" min="4" max="4"/>
    <col width="12.5703125" customWidth="1" min="5" max="5"/>
    <col width="11.5703125" customWidth="1" min="7" max="7"/>
    <col width="12.5703125" customWidth="1" min="8" max="8"/>
  </cols>
  <sheetData>
    <row r="1" customFormat="1" s="2">
      <c r="A1" s="9" t="inlineStr">
        <is>
          <t>January</t>
        </is>
      </c>
      <c r="D1" s="9" t="inlineStr">
        <is>
          <t>February</t>
        </is>
      </c>
      <c r="G1" s="9" t="inlineStr">
        <is>
          <t>March</t>
        </is>
      </c>
    </row>
    <row r="2">
      <c r="A2" s="1" t="n">
        <v>45658</v>
      </c>
      <c r="D2" s="1" t="n">
        <v>45691</v>
      </c>
      <c r="E2" s="3" t="n"/>
      <c r="G2" s="1" t="n">
        <v>45691</v>
      </c>
      <c r="H2" s="3" t="n"/>
    </row>
    <row r="3">
      <c r="A3" s="1" t="n">
        <v>45659</v>
      </c>
      <c r="B3" s="3" t="n">
        <v>1855</v>
      </c>
      <c r="D3" s="1" t="n">
        <v>45692</v>
      </c>
      <c r="E3" s="3" t="n">
        <v>25</v>
      </c>
      <c r="G3" s="1" t="n">
        <v>45692</v>
      </c>
      <c r="H3" s="3" t="n"/>
    </row>
    <row r="4">
      <c r="A4" s="1" t="n">
        <v>45660</v>
      </c>
      <c r="B4" s="3" t="n">
        <v>1250</v>
      </c>
      <c r="D4" s="1" t="n">
        <v>45693</v>
      </c>
      <c r="E4" s="3" t="n">
        <v>850</v>
      </c>
      <c r="G4" s="1" t="n">
        <v>45693</v>
      </c>
      <c r="H4" s="3" t="n"/>
    </row>
    <row r="5">
      <c r="A5" s="1" t="n">
        <v>45661</v>
      </c>
      <c r="D5" s="1" t="n">
        <v>45694</v>
      </c>
      <c r="E5" s="3" t="n">
        <v>-492</v>
      </c>
      <c r="G5" s="1" t="n">
        <v>45694</v>
      </c>
      <c r="H5" s="3" t="n"/>
    </row>
    <row r="6">
      <c r="A6" s="1" t="n">
        <v>45662</v>
      </c>
      <c r="D6" s="1" t="n">
        <v>45695</v>
      </c>
      <c r="E6" s="3" t="n">
        <v>1420</v>
      </c>
      <c r="G6" s="1" t="n">
        <v>45695</v>
      </c>
      <c r="H6" s="3" t="n"/>
    </row>
    <row r="7">
      <c r="A7" s="1" t="n">
        <v>45663</v>
      </c>
      <c r="D7" s="1" t="n">
        <v>45696</v>
      </c>
      <c r="E7" s="3" t="n"/>
      <c r="G7" s="1" t="n">
        <v>45696</v>
      </c>
      <c r="H7" s="3" t="n"/>
    </row>
    <row r="8">
      <c r="A8" s="1" t="n">
        <v>45664</v>
      </c>
      <c r="D8" s="1" t="n">
        <v>45697</v>
      </c>
      <c r="E8" s="3" t="n"/>
      <c r="G8" s="1" t="n">
        <v>45697</v>
      </c>
      <c r="H8" s="3" t="n"/>
    </row>
    <row r="9">
      <c r="A9" s="1" t="n">
        <v>45665</v>
      </c>
      <c r="B9" s="3" t="n">
        <v>-95</v>
      </c>
      <c r="D9" s="1" t="n">
        <v>45698</v>
      </c>
      <c r="E9" s="3" t="n"/>
      <c r="G9" s="1" t="n">
        <v>45698</v>
      </c>
      <c r="H9" s="3" t="n"/>
    </row>
    <row r="10">
      <c r="A10" s="1" t="n">
        <v>45666</v>
      </c>
      <c r="D10" s="1" t="n">
        <v>45699</v>
      </c>
      <c r="E10" s="3" t="n"/>
      <c r="G10" s="1" t="n">
        <v>45699</v>
      </c>
      <c r="H10" s="3" t="n"/>
    </row>
    <row r="11">
      <c r="A11" s="1" t="n">
        <v>45667</v>
      </c>
      <c r="D11" s="1" t="n">
        <v>45700</v>
      </c>
      <c r="E11" s="3" t="n"/>
      <c r="G11" s="1" t="n">
        <v>45700</v>
      </c>
      <c r="H11" s="3" t="n"/>
    </row>
    <row r="12">
      <c r="A12" s="1" t="n">
        <v>45668</v>
      </c>
      <c r="D12" s="1" t="n">
        <v>45701</v>
      </c>
      <c r="E12" s="3" t="n">
        <v>1020</v>
      </c>
      <c r="G12" s="1" t="n">
        <v>45701</v>
      </c>
      <c r="H12" s="3" t="n"/>
    </row>
    <row r="13">
      <c r="A13" s="1" t="n">
        <v>45669</v>
      </c>
      <c r="D13" s="1" t="n">
        <v>45702</v>
      </c>
      <c r="E13" s="3" t="n">
        <v>-1435</v>
      </c>
      <c r="G13" s="1" t="n">
        <v>45702</v>
      </c>
      <c r="H13" s="3" t="n"/>
    </row>
    <row r="14">
      <c r="A14" s="1" t="n">
        <v>45670</v>
      </c>
      <c r="B14" s="3" t="n">
        <v>440</v>
      </c>
      <c r="D14" s="1" t="n">
        <v>45703</v>
      </c>
      <c r="E14" s="3" t="n"/>
      <c r="G14" s="1" t="n">
        <v>45703</v>
      </c>
      <c r="H14" s="3" t="n"/>
    </row>
    <row r="15">
      <c r="A15" s="1" t="n">
        <v>45671</v>
      </c>
      <c r="B15" s="3" t="n">
        <v>1190</v>
      </c>
      <c r="D15" s="1" t="n">
        <v>45704</v>
      </c>
      <c r="E15" s="3" t="n"/>
      <c r="G15" s="1" t="n">
        <v>45704</v>
      </c>
      <c r="H15" s="3" t="n"/>
    </row>
    <row r="16">
      <c r="A16" s="1" t="n">
        <v>45672</v>
      </c>
      <c r="B16" s="3" t="n">
        <v>-497</v>
      </c>
      <c r="D16" s="1" t="n">
        <v>45705</v>
      </c>
      <c r="E16" s="3" t="n"/>
      <c r="G16" s="1" t="n">
        <v>45705</v>
      </c>
      <c r="H16" s="3" t="n"/>
    </row>
    <row r="17">
      <c r="A17" s="1" t="n">
        <v>45673</v>
      </c>
      <c r="D17" s="1" t="n">
        <v>45706</v>
      </c>
      <c r="E17" s="3" t="n"/>
      <c r="G17" s="1" t="n">
        <v>45706</v>
      </c>
      <c r="H17" s="3" t="n"/>
    </row>
    <row r="18">
      <c r="A18" s="1" t="n">
        <v>45674</v>
      </c>
      <c r="B18" s="3" t="n">
        <v>-1187.5</v>
      </c>
      <c r="D18" s="1" t="n">
        <v>45707</v>
      </c>
      <c r="E18" s="3" t="n"/>
      <c r="G18" s="1" t="n">
        <v>45707</v>
      </c>
      <c r="H18" s="3" t="n"/>
    </row>
    <row r="19">
      <c r="A19" s="1" t="n">
        <v>45675</v>
      </c>
      <c r="D19" s="1" t="n">
        <v>45708</v>
      </c>
      <c r="E19" s="3" t="n"/>
      <c r="G19" s="1" t="n">
        <v>45708</v>
      </c>
      <c r="H19" s="3" t="n"/>
    </row>
    <row r="20">
      <c r="A20" s="1" t="n">
        <v>45676</v>
      </c>
      <c r="D20" s="1" t="n">
        <v>45709</v>
      </c>
      <c r="E20" s="3" t="n">
        <v>510</v>
      </c>
      <c r="G20" s="1" t="n">
        <v>45709</v>
      </c>
      <c r="H20" s="3" t="n"/>
    </row>
    <row r="21">
      <c r="A21" s="1" t="n">
        <v>45677</v>
      </c>
      <c r="D21" s="1" t="n">
        <v>45710</v>
      </c>
      <c r="E21" s="3" t="n"/>
      <c r="G21" s="1" t="n">
        <v>45710</v>
      </c>
      <c r="H21" s="3" t="n"/>
    </row>
    <row r="22">
      <c r="A22" s="1" t="n">
        <v>45678</v>
      </c>
      <c r="B22" s="3" t="n">
        <v>440</v>
      </c>
      <c r="D22" s="1" t="n">
        <v>45711</v>
      </c>
      <c r="E22" s="3" t="n"/>
      <c r="G22" s="1" t="n">
        <v>45711</v>
      </c>
      <c r="H22" s="3" t="n"/>
    </row>
    <row r="23">
      <c r="A23" s="1" t="n">
        <v>45679</v>
      </c>
      <c r="B23" s="3" t="n">
        <v>-1550</v>
      </c>
      <c r="D23" s="1" t="n">
        <v>45712</v>
      </c>
      <c r="E23" s="3" t="n"/>
      <c r="G23" s="1" t="n">
        <v>45712</v>
      </c>
      <c r="H23" s="3" t="n"/>
    </row>
    <row r="24">
      <c r="A24" s="1" t="n">
        <v>45680</v>
      </c>
      <c r="D24" s="1" t="n">
        <v>45713</v>
      </c>
      <c r="E24" s="3" t="n"/>
      <c r="G24" s="1" t="n">
        <v>45713</v>
      </c>
      <c r="H24" s="3" t="n"/>
    </row>
    <row r="25">
      <c r="A25" s="1" t="n">
        <v>45681</v>
      </c>
      <c r="B25" s="3" t="n">
        <v>430</v>
      </c>
      <c r="D25" s="1" t="n">
        <v>45714</v>
      </c>
      <c r="E25" s="3" t="n">
        <v>640</v>
      </c>
      <c r="G25" s="1" t="n">
        <v>45714</v>
      </c>
      <c r="H25" s="3" t="n"/>
    </row>
    <row r="26">
      <c r="A26" s="1" t="n">
        <v>45682</v>
      </c>
      <c r="D26" s="1" t="n">
        <v>45715</v>
      </c>
      <c r="E26" s="3" t="n">
        <v>-180</v>
      </c>
      <c r="G26" s="1" t="n">
        <v>45715</v>
      </c>
      <c r="H26" s="3" t="n"/>
    </row>
    <row r="27">
      <c r="A27" s="1" t="n">
        <v>45683</v>
      </c>
      <c r="D27" s="1" t="n">
        <v>45716</v>
      </c>
      <c r="E27" s="3" t="n"/>
      <c r="G27" s="1" t="n">
        <v>45716</v>
      </c>
      <c r="H27" s="3" t="n"/>
    </row>
    <row r="28">
      <c r="A28" s="1" t="n">
        <v>45684</v>
      </c>
      <c r="D28" s="1" t="n"/>
      <c r="E28" s="3" t="n"/>
      <c r="G28" s="1" t="n"/>
      <c r="H28" s="3" t="n"/>
    </row>
    <row r="29">
      <c r="A29" s="1" t="n">
        <v>45685</v>
      </c>
      <c r="B29" s="3" t="n">
        <v>410</v>
      </c>
      <c r="D29" s="1" t="n"/>
      <c r="E29" s="3" t="n"/>
      <c r="G29" s="1" t="n"/>
      <c r="H29" s="3" t="n"/>
    </row>
    <row r="30">
      <c r="A30" s="1" t="n">
        <v>45686</v>
      </c>
      <c r="D30" s="1" t="n"/>
      <c r="E30" s="3" t="n"/>
      <c r="G30" s="1" t="n"/>
      <c r="H30" s="3" t="n"/>
    </row>
    <row r="31">
      <c r="A31" s="1" t="n">
        <v>45687</v>
      </c>
      <c r="B31" s="3" t="n">
        <v>-666</v>
      </c>
      <c r="D31" s="1" t="n"/>
      <c r="E31" s="3" t="n"/>
      <c r="G31" s="1" t="n"/>
      <c r="H31" s="3" t="n"/>
    </row>
    <row r="32">
      <c r="A32" s="1" t="n">
        <v>45688</v>
      </c>
      <c r="B32" s="3" t="n">
        <v>625</v>
      </c>
      <c r="D32" s="1" t="n"/>
      <c r="E32" s="3" t="n"/>
      <c r="G32" s="1" t="n"/>
      <c r="H32" s="3" t="n"/>
    </row>
    <row r="33">
      <c r="E33" s="3" t="n"/>
      <c r="H33" s="3" t="n"/>
    </row>
    <row r="34">
      <c r="E34" s="3" t="n"/>
      <c r="H34" s="3" t="n"/>
    </row>
    <row r="35">
      <c r="A35" t="inlineStr">
        <is>
          <t>Total</t>
        </is>
      </c>
      <c r="B35" s="3">
        <f>SUM(B2:B34)</f>
        <v/>
      </c>
      <c r="E35" s="3">
        <f>SUM(E2:E27)</f>
        <v/>
      </c>
      <c r="H35" s="3" t="n"/>
    </row>
  </sheetData>
  <mergeCells count="3">
    <mergeCell ref="D1:E1"/>
    <mergeCell ref="G1:H1"/>
    <mergeCell ref="A1:B1"/>
  </mergeCells>
  <conditionalFormatting sqref="B2:B32">
    <cfRule type="cellIs" priority="7" operator="lessThan" dxfId="1">
      <formula>0</formula>
    </cfRule>
    <cfRule type="cellIs" priority="8" operator="greaterThan" dxfId="0">
      <formula>0</formula>
    </cfRule>
  </conditionalFormatting>
  <conditionalFormatting sqref="B35">
    <cfRule type="cellIs" priority="5" operator="lessThan" dxfId="1">
      <formula>0</formula>
    </cfRule>
    <cfRule type="cellIs" priority="6" operator="greaterThan" dxfId="0">
      <formula>0</formula>
    </cfRule>
  </conditionalFormatting>
  <conditionalFormatting sqref="E2:E35">
    <cfRule type="cellIs" priority="3" operator="lessThan" dxfId="1">
      <formula>0</formula>
    </cfRule>
    <cfRule type="cellIs" priority="4" operator="greaterThan" dxfId="0">
      <formula>0</formula>
    </cfRule>
  </conditionalFormatting>
  <conditionalFormatting sqref="H2:H35">
    <cfRule type="cellIs" priority="1" operator="lessThan" dxfId="1">
      <formula>0</formula>
    </cfRule>
    <cfRule type="cellIs" priority="2" operator="greaterThan" dxfId="0">
      <formula>0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3">
    <outlinePr summaryBelow="1" summaryRight="1"/>
    <pageSetUpPr/>
  </sheetPr>
  <dimension ref="A1:K35"/>
  <sheetViews>
    <sheetView workbookViewId="0">
      <selection activeCell="E35" sqref="B35:E35"/>
    </sheetView>
  </sheetViews>
  <sheetFormatPr baseColWidth="8" defaultRowHeight="15"/>
  <cols>
    <col width="18.42578125" customWidth="1" min="1" max="1"/>
    <col width="15.42578125" customWidth="1" style="3" min="2" max="2"/>
    <col width="11.5703125" customWidth="1" min="4" max="4"/>
    <col width="12.5703125" customWidth="1" min="5" max="5"/>
  </cols>
  <sheetData>
    <row r="1" customFormat="1" s="2">
      <c r="A1" s="9" t="inlineStr">
        <is>
          <t>January</t>
        </is>
      </c>
      <c r="D1" s="9" t="inlineStr">
        <is>
          <t>February</t>
        </is>
      </c>
    </row>
    <row r="2">
      <c r="A2" s="1" t="n">
        <v>45658</v>
      </c>
      <c r="D2" s="1" t="n">
        <v>45691</v>
      </c>
      <c r="E2" s="3" t="n"/>
    </row>
    <row r="3">
      <c r="A3" s="1" t="n">
        <v>45659</v>
      </c>
      <c r="B3" s="3" t="n">
        <v>845</v>
      </c>
      <c r="D3" s="1" t="n">
        <v>45692</v>
      </c>
      <c r="E3" s="3" t="n">
        <v>1235</v>
      </c>
    </row>
    <row r="4">
      <c r="A4" s="1" t="n">
        <v>45660</v>
      </c>
      <c r="B4" s="3" t="n">
        <v>-1465</v>
      </c>
      <c r="D4" s="1" t="n">
        <v>45693</v>
      </c>
      <c r="E4" s="3" t="n">
        <v>-1525</v>
      </c>
    </row>
    <row r="5">
      <c r="A5" s="1" t="n">
        <v>45661</v>
      </c>
      <c r="D5" s="1" t="n">
        <v>45694</v>
      </c>
      <c r="E5" s="3" t="n">
        <v>835</v>
      </c>
    </row>
    <row r="6">
      <c r="A6" s="1" t="n">
        <v>45662</v>
      </c>
      <c r="D6" s="1" t="n">
        <v>45695</v>
      </c>
      <c r="E6" s="3" t="n">
        <v>-5736</v>
      </c>
    </row>
    <row r="7">
      <c r="A7" s="1" t="n">
        <v>45663</v>
      </c>
      <c r="B7" s="3" t="n">
        <v>-1995</v>
      </c>
      <c r="D7" s="1" t="n">
        <v>45696</v>
      </c>
      <c r="E7" s="3" t="n"/>
    </row>
    <row r="8">
      <c r="A8" s="1" t="n">
        <v>45664</v>
      </c>
      <c r="B8" s="3" t="n">
        <v>135</v>
      </c>
      <c r="D8" s="1" t="n">
        <v>45697</v>
      </c>
      <c r="E8" s="3" t="n"/>
    </row>
    <row r="9">
      <c r="A9" s="1" t="n">
        <v>45665</v>
      </c>
      <c r="D9" s="1" t="n">
        <v>45698</v>
      </c>
      <c r="E9" s="3" t="n"/>
    </row>
    <row r="10">
      <c r="A10" s="1" t="n">
        <v>45666</v>
      </c>
      <c r="D10" s="1" t="n">
        <v>45699</v>
      </c>
      <c r="E10" s="3" t="n"/>
    </row>
    <row r="11">
      <c r="A11" s="1" t="n">
        <v>45667</v>
      </c>
      <c r="D11" s="1" t="n">
        <v>45700</v>
      </c>
      <c r="E11" s="3" t="n"/>
    </row>
    <row r="12">
      <c r="A12" s="1" t="n">
        <v>45668</v>
      </c>
      <c r="D12" s="1" t="n">
        <v>45701</v>
      </c>
      <c r="E12" s="3" t="n"/>
    </row>
    <row r="13">
      <c r="A13" s="1" t="n">
        <v>45669</v>
      </c>
      <c r="D13" s="1" t="n">
        <v>45702</v>
      </c>
      <c r="E13" s="3" t="n"/>
    </row>
    <row r="14">
      <c r="A14" s="1" t="n">
        <v>45670</v>
      </c>
      <c r="B14" s="3" t="n">
        <v>880</v>
      </c>
      <c r="D14" s="1" t="n">
        <v>45703</v>
      </c>
      <c r="E14" s="3" t="n"/>
    </row>
    <row r="15">
      <c r="A15" s="1" t="n">
        <v>45671</v>
      </c>
      <c r="B15" s="3" t="n">
        <v>-4899</v>
      </c>
      <c r="D15" s="1" t="n">
        <v>45704</v>
      </c>
      <c r="E15" s="3" t="n"/>
    </row>
    <row r="16">
      <c r="A16" s="1" t="n">
        <v>45672</v>
      </c>
      <c r="B16" s="3" t="n">
        <v>840</v>
      </c>
      <c r="D16" s="1" t="n">
        <v>45705</v>
      </c>
      <c r="E16" s="3" t="n"/>
    </row>
    <row r="17">
      <c r="A17" s="1" t="n">
        <v>45673</v>
      </c>
      <c r="B17" s="3" t="n">
        <v>1549</v>
      </c>
      <c r="D17" s="1" t="n">
        <v>45706</v>
      </c>
      <c r="E17" s="3" t="n"/>
    </row>
    <row r="18">
      <c r="A18" s="1" t="n">
        <v>45674</v>
      </c>
      <c r="B18" s="3" t="n">
        <v>315</v>
      </c>
      <c r="D18" s="1" t="n">
        <v>45707</v>
      </c>
      <c r="E18" s="3" t="n"/>
    </row>
    <row r="19">
      <c r="A19" s="1" t="n">
        <v>45675</v>
      </c>
      <c r="D19" s="1" t="n">
        <v>45708</v>
      </c>
      <c r="E19" s="3" t="n"/>
    </row>
    <row r="20">
      <c r="A20" s="1" t="n">
        <v>45676</v>
      </c>
      <c r="D20" s="1" t="n">
        <v>45709</v>
      </c>
      <c r="E20" s="3" t="n"/>
    </row>
    <row r="21">
      <c r="A21" s="1" t="n">
        <v>45677</v>
      </c>
      <c r="D21" s="1" t="n">
        <v>45710</v>
      </c>
      <c r="E21" s="3" t="n"/>
    </row>
    <row r="22">
      <c r="A22" s="1" t="n">
        <v>45678</v>
      </c>
      <c r="B22" s="3" t="n">
        <v>380</v>
      </c>
      <c r="D22" s="1" t="n">
        <v>45711</v>
      </c>
      <c r="E22" s="3" t="n"/>
    </row>
    <row r="23">
      <c r="A23" s="1" t="n">
        <v>45679</v>
      </c>
      <c r="B23" s="3" t="n">
        <v>335</v>
      </c>
      <c r="D23" s="1" t="n">
        <v>45712</v>
      </c>
      <c r="E23" s="3" t="n"/>
    </row>
    <row r="24">
      <c r="A24" s="1" t="n">
        <v>45680</v>
      </c>
      <c r="B24" s="3" t="n">
        <v>-1475</v>
      </c>
      <c r="D24" s="1" t="n">
        <v>45713</v>
      </c>
      <c r="E24" s="3" t="n"/>
    </row>
    <row r="25">
      <c r="A25" s="1" t="n">
        <v>45681</v>
      </c>
      <c r="D25" s="1" t="n">
        <v>45714</v>
      </c>
      <c r="E25" s="3" t="n"/>
    </row>
    <row r="26">
      <c r="A26" s="1" t="n">
        <v>45682</v>
      </c>
      <c r="D26" s="1" t="n">
        <v>45715</v>
      </c>
      <c r="E26" s="3" t="n"/>
    </row>
    <row r="27">
      <c r="A27" s="1" t="n">
        <v>45683</v>
      </c>
      <c r="D27" s="1" t="n">
        <v>45716</v>
      </c>
      <c r="E27" s="3" t="n"/>
    </row>
    <row r="28">
      <c r="A28" s="1" t="n">
        <v>45684</v>
      </c>
      <c r="D28" s="1" t="n"/>
      <c r="E28" s="3" t="n"/>
    </row>
    <row r="29">
      <c r="A29" s="1" t="n">
        <v>45685</v>
      </c>
      <c r="B29" s="3" t="n">
        <v>1165</v>
      </c>
      <c r="D29" s="1" t="n"/>
      <c r="E29" s="3" t="n"/>
    </row>
    <row r="30">
      <c r="A30" s="1" t="n">
        <v>45686</v>
      </c>
      <c r="D30" s="1" t="n"/>
      <c r="E30" s="3" t="n"/>
    </row>
    <row r="31">
      <c r="A31" s="1" t="n">
        <v>45687</v>
      </c>
      <c r="D31" s="1" t="n"/>
      <c r="E31" s="3" t="n"/>
    </row>
    <row r="32">
      <c r="A32" s="1" t="n">
        <v>45688</v>
      </c>
      <c r="B32" s="3" t="n">
        <v>465</v>
      </c>
      <c r="D32" s="1" t="n"/>
      <c r="E32" s="3" t="n"/>
    </row>
    <row r="33">
      <c r="E33" s="3" t="n"/>
    </row>
    <row r="34">
      <c r="E34" s="3" t="n"/>
    </row>
    <row r="35">
      <c r="A35" t="inlineStr">
        <is>
          <t>Total</t>
        </is>
      </c>
      <c r="B35" s="3">
        <f>SUM(B2:B34)</f>
        <v/>
      </c>
      <c r="E35" s="3">
        <f>SUM(E2:E34)</f>
        <v/>
      </c>
    </row>
  </sheetData>
  <mergeCells count="2">
    <mergeCell ref="D1:E1"/>
    <mergeCell ref="A1:B1"/>
  </mergeCells>
  <conditionalFormatting sqref="B2:B32">
    <cfRule type="cellIs" priority="7" operator="lessThan" dxfId="1">
      <formula>0</formula>
    </cfRule>
    <cfRule type="cellIs" priority="8" operator="greaterThan" dxfId="0">
      <formula>0</formula>
    </cfRule>
  </conditionalFormatting>
  <conditionalFormatting sqref="B35">
    <cfRule type="cellIs" priority="5" operator="lessThan" dxfId="1">
      <formula>0</formula>
    </cfRule>
    <cfRule type="cellIs" priority="6" operator="greaterThan" dxfId="0">
      <formula>0</formula>
    </cfRule>
  </conditionalFormatting>
  <conditionalFormatting sqref="E2:E35">
    <cfRule type="cellIs" priority="1" operator="lessThan" dxfId="1">
      <formula>0</formula>
    </cfRule>
    <cfRule type="cellIs" priority="2" operator="greaterThan" dxfId="0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Eliot Sagor</dc:creator>
  <dcterms:created xmlns:dcterms="http://purl.org/dc/terms/" xmlns:xsi="http://www.w3.org/2001/XMLSchema-instance" xsi:type="dcterms:W3CDTF">2025-01-02T17:43:42Z</dcterms:created>
  <dcterms:modified xmlns:dcterms="http://purl.org/dc/terms/" xmlns:xsi="http://www.w3.org/2001/XMLSchema-instance" xsi:type="dcterms:W3CDTF">2026-05-27T16:26:36Z</dcterms:modified>
  <cp:lastModifiedBy>Eliot Sagor</cp:lastModifiedBy>
</cp:coreProperties>
</file>